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10105940\Downloads\"/>
    </mc:Choice>
  </mc:AlternateContent>
  <xr:revisionPtr revIDLastSave="0" documentId="13_ncr:1_{0C86A02F-BC13-481A-B064-A4CD26722A46}" xr6:coauthVersionLast="47" xr6:coauthVersionMax="47" xr10:uidLastSave="{00000000-0000-0000-0000-000000000000}"/>
  <bookViews>
    <workbookView xWindow="50" yWindow="450" windowWidth="23020" windowHeight="13340" xr2:uid="{EDF44AB0-D158-4A79-92FD-6D3E0C4D410C}"/>
  </bookViews>
  <sheets>
    <sheet name="前提条件" sheetId="6" r:id="rId1"/>
    <sheet name="年齢" sheetId="7" r:id="rId2"/>
    <sheet name="枠順" sheetId="8" r:id="rId3"/>
    <sheet name="騎手" sheetId="9" r:id="rId4"/>
    <sheet name="血統" sheetId="10" r:id="rId5"/>
    <sheet name="前走クラス" sheetId="11" r:id="rId6"/>
    <sheet name="前走レース別" sheetId="13" r:id="rId7"/>
    <sheet name="馬体重増減" sheetId="1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5" l="1"/>
  <c r="G21" i="9"/>
  <c r="H21" i="9"/>
  <c r="I21" i="9"/>
  <c r="J21" i="9"/>
  <c r="G19" i="9"/>
  <c r="H19" i="9"/>
  <c r="I19" i="9"/>
  <c r="J19" i="9"/>
  <c r="G20" i="9"/>
  <c r="H20" i="9"/>
  <c r="I20" i="9"/>
  <c r="J20" i="9"/>
  <c r="G17" i="9"/>
  <c r="H17" i="9"/>
  <c r="I17" i="9"/>
  <c r="J17" i="9"/>
  <c r="G18" i="9"/>
  <c r="H18" i="9"/>
  <c r="I18" i="9"/>
  <c r="J18" i="9"/>
  <c r="G10" i="9"/>
  <c r="H10" i="9"/>
  <c r="I10" i="9"/>
  <c r="J10" i="9"/>
  <c r="G11" i="9"/>
  <c r="H11" i="9"/>
  <c r="I11" i="9"/>
  <c r="J11" i="9"/>
  <c r="G12" i="9"/>
  <c r="H12" i="9"/>
  <c r="I12" i="9"/>
  <c r="J12" i="9"/>
  <c r="G13" i="9"/>
  <c r="H13" i="9"/>
  <c r="I13" i="9"/>
  <c r="J13" i="9"/>
  <c r="G14" i="9"/>
  <c r="H14" i="9"/>
  <c r="I14" i="9"/>
  <c r="J14" i="9"/>
  <c r="G15" i="9"/>
  <c r="H15" i="9"/>
  <c r="I15" i="9"/>
  <c r="J15" i="9"/>
  <c r="G16" i="9"/>
  <c r="H16" i="9"/>
  <c r="I16" i="9"/>
  <c r="J16" i="9"/>
  <c r="J6" i="15"/>
  <c r="I6" i="15"/>
  <c r="H6" i="15"/>
  <c r="G6" i="15"/>
  <c r="B5" i="15"/>
  <c r="J5" i="15" s="1"/>
  <c r="B4" i="15"/>
  <c r="H4" i="15" s="1"/>
  <c r="B3" i="15"/>
  <c r="J3" i="15" s="1"/>
  <c r="B2" i="15"/>
  <c r="J2" i="15" s="1"/>
  <c r="J7" i="13"/>
  <c r="J8" i="13"/>
  <c r="J9" i="13"/>
  <c r="J6" i="13"/>
  <c r="B7" i="13"/>
  <c r="G7" i="13" s="1"/>
  <c r="B8" i="13"/>
  <c r="G8" i="13" s="1"/>
  <c r="B9" i="13"/>
  <c r="G9" i="13" s="1"/>
  <c r="B10" i="13"/>
  <c r="G10" i="13" s="1"/>
  <c r="B6" i="13"/>
  <c r="J5" i="13"/>
  <c r="I5" i="13"/>
  <c r="H5" i="13"/>
  <c r="B5" i="13"/>
  <c r="G5" i="13" s="1"/>
  <c r="B4" i="13"/>
  <c r="J4" i="13" s="1"/>
  <c r="B3" i="13"/>
  <c r="I3" i="13" s="1"/>
  <c r="J2" i="13"/>
  <c r="I2" i="13"/>
  <c r="H2" i="13"/>
  <c r="G2" i="13"/>
  <c r="B2" i="13"/>
  <c r="B3" i="11"/>
  <c r="B4" i="11"/>
  <c r="B5" i="11"/>
  <c r="J5" i="11" s="1"/>
  <c r="B6" i="11"/>
  <c r="B2" i="11"/>
  <c r="G10" i="10"/>
  <c r="G11" i="10"/>
  <c r="G12" i="10"/>
  <c r="G13" i="10"/>
  <c r="G14" i="10"/>
  <c r="G15" i="10"/>
  <c r="G16" i="10"/>
  <c r="G17" i="10"/>
  <c r="G18" i="10"/>
  <c r="J14" i="10"/>
  <c r="J15" i="10"/>
  <c r="J16" i="10"/>
  <c r="J17" i="10"/>
  <c r="J13" i="10"/>
  <c r="J5" i="10"/>
  <c r="J6" i="10"/>
  <c r="J7" i="10"/>
  <c r="J8" i="10"/>
  <c r="J9" i="10"/>
  <c r="J10" i="10"/>
  <c r="J11" i="10"/>
  <c r="J4" i="10"/>
  <c r="B3" i="10"/>
  <c r="B4" i="10"/>
  <c r="G4" i="10" s="1"/>
  <c r="B5" i="10"/>
  <c r="B6" i="10"/>
  <c r="G6" i="10" s="1"/>
  <c r="B7" i="10"/>
  <c r="B8" i="10"/>
  <c r="G8" i="10" s="1"/>
  <c r="B9" i="10"/>
  <c r="B10" i="10"/>
  <c r="H10" i="10" s="1"/>
  <c r="B11" i="10"/>
  <c r="I11" i="10" s="1"/>
  <c r="B12" i="10"/>
  <c r="I12" i="10" s="1"/>
  <c r="B13" i="10"/>
  <c r="H13" i="10" s="1"/>
  <c r="B14" i="10"/>
  <c r="H14" i="10" s="1"/>
  <c r="B15" i="10"/>
  <c r="H15" i="10" s="1"/>
  <c r="B16" i="10"/>
  <c r="H16" i="10" s="1"/>
  <c r="B17" i="10"/>
  <c r="H17" i="10" s="1"/>
  <c r="B18" i="10"/>
  <c r="H18" i="10" s="1"/>
  <c r="B2" i="10"/>
  <c r="J2" i="10" s="1"/>
  <c r="J6" i="11"/>
  <c r="I6" i="11"/>
  <c r="H6" i="11"/>
  <c r="G6" i="11"/>
  <c r="J4" i="11"/>
  <c r="I4" i="11"/>
  <c r="H4" i="11"/>
  <c r="G4" i="11"/>
  <c r="J3" i="11"/>
  <c r="I3" i="11"/>
  <c r="H3" i="11"/>
  <c r="G3" i="11"/>
  <c r="J2" i="11"/>
  <c r="I2" i="11"/>
  <c r="H2" i="11"/>
  <c r="G2" i="11"/>
  <c r="G7" i="10"/>
  <c r="I6" i="10"/>
  <c r="H6" i="10"/>
  <c r="I4" i="10"/>
  <c r="H4" i="10"/>
  <c r="J3" i="10"/>
  <c r="I3" i="10"/>
  <c r="H3" i="10"/>
  <c r="G3" i="10"/>
  <c r="J9" i="9"/>
  <c r="I9" i="9"/>
  <c r="H9" i="9"/>
  <c r="G9" i="9"/>
  <c r="J8" i="9"/>
  <c r="I8" i="9"/>
  <c r="H8" i="9"/>
  <c r="G8" i="9"/>
  <c r="J7" i="9"/>
  <c r="I7" i="9"/>
  <c r="H7" i="9"/>
  <c r="G7" i="9"/>
  <c r="J6" i="9"/>
  <c r="I6" i="9"/>
  <c r="H6" i="9"/>
  <c r="G6" i="9"/>
  <c r="J5" i="9"/>
  <c r="I5" i="9"/>
  <c r="H5" i="9"/>
  <c r="G5" i="9"/>
  <c r="J4" i="9"/>
  <c r="I4" i="9"/>
  <c r="H4" i="9"/>
  <c r="G4" i="9"/>
  <c r="J3" i="9"/>
  <c r="I3" i="9"/>
  <c r="H3" i="9"/>
  <c r="G3" i="9"/>
  <c r="J2" i="9"/>
  <c r="I2" i="9"/>
  <c r="H2" i="9"/>
  <c r="G2" i="9"/>
  <c r="J3" i="8"/>
  <c r="J4" i="8"/>
  <c r="J5" i="8"/>
  <c r="J6" i="8"/>
  <c r="J7" i="8"/>
  <c r="J8" i="8"/>
  <c r="J9" i="8"/>
  <c r="J2" i="8"/>
  <c r="J3" i="7"/>
  <c r="J4" i="7"/>
  <c r="J5" i="7"/>
  <c r="J6" i="7"/>
  <c r="J2" i="7"/>
  <c r="I3" i="8"/>
  <c r="I4" i="8"/>
  <c r="I5" i="8"/>
  <c r="I6" i="8"/>
  <c r="I7" i="8"/>
  <c r="I8" i="8"/>
  <c r="I9" i="8"/>
  <c r="I2" i="8"/>
  <c r="H3" i="8"/>
  <c r="H4" i="8"/>
  <c r="H5" i="8"/>
  <c r="H6" i="8"/>
  <c r="H7" i="8"/>
  <c r="H8" i="8"/>
  <c r="H9" i="8"/>
  <c r="H2" i="8"/>
  <c r="G3" i="8"/>
  <c r="G4" i="8"/>
  <c r="G5" i="8"/>
  <c r="G6" i="8"/>
  <c r="G7" i="8"/>
  <c r="G8" i="8"/>
  <c r="G9" i="8"/>
  <c r="G2" i="8"/>
  <c r="I3" i="7"/>
  <c r="I4" i="7"/>
  <c r="I5" i="7"/>
  <c r="I6" i="7"/>
  <c r="I2" i="7"/>
  <c r="H3" i="7"/>
  <c r="H4" i="7"/>
  <c r="H5" i="7"/>
  <c r="H6" i="7"/>
  <c r="H2" i="7"/>
  <c r="G3" i="7"/>
  <c r="G4" i="7"/>
  <c r="G5" i="7"/>
  <c r="G6" i="7"/>
  <c r="G2" i="7"/>
  <c r="I4" i="15" l="1"/>
  <c r="J4" i="15"/>
  <c r="G3" i="15"/>
  <c r="H3" i="15"/>
  <c r="I3" i="15"/>
  <c r="G5" i="15"/>
  <c r="G2" i="15"/>
  <c r="H5" i="15"/>
  <c r="H2" i="15"/>
  <c r="I5" i="15"/>
  <c r="I2" i="15"/>
  <c r="G4" i="15"/>
  <c r="J10" i="13"/>
  <c r="I10" i="13"/>
  <c r="H10" i="13"/>
  <c r="I9" i="13"/>
  <c r="H9" i="13"/>
  <c r="I8" i="13"/>
  <c r="H8" i="13"/>
  <c r="I7" i="13"/>
  <c r="H7" i="13"/>
  <c r="J3" i="13"/>
  <c r="G4" i="13"/>
  <c r="H4" i="13"/>
  <c r="I4" i="13"/>
  <c r="G6" i="13"/>
  <c r="G3" i="13"/>
  <c r="H6" i="13"/>
  <c r="H3" i="13"/>
  <c r="I6" i="13"/>
  <c r="G5" i="11"/>
  <c r="H5" i="11"/>
  <c r="I5" i="11"/>
  <c r="J18" i="10"/>
  <c r="I18" i="10"/>
  <c r="I17" i="10"/>
  <c r="I16" i="10"/>
  <c r="I15" i="10"/>
  <c r="I14" i="10"/>
  <c r="I13" i="10"/>
  <c r="H12" i="10"/>
  <c r="J12" i="10"/>
  <c r="H11" i="10"/>
  <c r="I10" i="10"/>
  <c r="H8" i="10"/>
  <c r="I8" i="10"/>
  <c r="H5" i="10"/>
  <c r="G5" i="10"/>
  <c r="I5" i="10"/>
  <c r="G9" i="10"/>
  <c r="H7" i="10"/>
  <c r="H9" i="10"/>
  <c r="I7" i="10"/>
  <c r="I9" i="10"/>
  <c r="H2" i="10"/>
  <c r="I2" i="10"/>
  <c r="G2" i="10"/>
</calcChain>
</file>

<file path=xl/sharedStrings.xml><?xml version="1.0" encoding="utf-8"?>
<sst xmlns="http://schemas.openxmlformats.org/spreadsheetml/2006/main" count="152" uniqueCount="96">
  <si>
    <t>年齢</t>
    <rPh sb="0" eb="2">
      <t>ネンレイ</t>
    </rPh>
    <phoneticPr fontId="3"/>
  </si>
  <si>
    <t>3歳</t>
    <rPh sb="1" eb="2">
      <t>サイ</t>
    </rPh>
    <phoneticPr fontId="3"/>
  </si>
  <si>
    <t>4歳</t>
    <rPh sb="1" eb="2">
      <t>サイ</t>
    </rPh>
    <phoneticPr fontId="3"/>
  </si>
  <si>
    <t>5歳</t>
    <rPh sb="1" eb="2">
      <t>サイ</t>
    </rPh>
    <phoneticPr fontId="3"/>
  </si>
  <si>
    <t>6歳</t>
    <rPh sb="1" eb="2">
      <t>サイ</t>
    </rPh>
    <phoneticPr fontId="3"/>
  </si>
  <si>
    <t>年齢期待値</t>
    <rPh sb="0" eb="2">
      <t>ネンレイ</t>
    </rPh>
    <rPh sb="2" eb="5">
      <t>キタイチ</t>
    </rPh>
    <phoneticPr fontId="3"/>
  </si>
  <si>
    <t>枠順期待値</t>
    <rPh sb="0" eb="2">
      <t>ワクジュン</t>
    </rPh>
    <rPh sb="2" eb="5">
      <t>キタイチ</t>
    </rPh>
    <phoneticPr fontId="3"/>
  </si>
  <si>
    <t>騎手期待値</t>
    <rPh sb="0" eb="5">
      <t>キシュキタイチ</t>
    </rPh>
    <phoneticPr fontId="3"/>
  </si>
  <si>
    <t>血統期待値</t>
    <rPh sb="0" eb="2">
      <t>ケットウ</t>
    </rPh>
    <rPh sb="2" eb="5">
      <t>キタイチ</t>
    </rPh>
    <phoneticPr fontId="3"/>
  </si>
  <si>
    <t>当日状態期待値</t>
    <rPh sb="0" eb="2">
      <t>トウジツ</t>
    </rPh>
    <rPh sb="2" eb="4">
      <t>ジョウタイ</t>
    </rPh>
    <rPh sb="4" eb="7">
      <t>キタイチ</t>
    </rPh>
    <phoneticPr fontId="3"/>
  </si>
  <si>
    <t>過去実績期待値</t>
    <rPh sb="0" eb="4">
      <t>カコジッセキ</t>
    </rPh>
    <rPh sb="4" eb="7">
      <t>キタイチ</t>
    </rPh>
    <phoneticPr fontId="3"/>
  </si>
  <si>
    <t>出走数</t>
    <rPh sb="0" eb="3">
      <t>シュッソウスウ</t>
    </rPh>
    <phoneticPr fontId="3"/>
  </si>
  <si>
    <t>勝率</t>
    <rPh sb="0" eb="2">
      <t>ショウリツ</t>
    </rPh>
    <phoneticPr fontId="3"/>
  </si>
  <si>
    <t>連帯率</t>
    <rPh sb="0" eb="3">
      <t>レンタイリツ</t>
    </rPh>
    <phoneticPr fontId="3"/>
  </si>
  <si>
    <t>複勝率</t>
    <rPh sb="0" eb="3">
      <t>フクショウリツ</t>
    </rPh>
    <phoneticPr fontId="3"/>
  </si>
  <si>
    <t>7歳以上</t>
    <rPh sb="1" eb="2">
      <t>サイ</t>
    </rPh>
    <rPh sb="2" eb="4">
      <t>イジョウ</t>
    </rPh>
    <phoneticPr fontId="3"/>
  </si>
  <si>
    <t>1着数</t>
    <rPh sb="1" eb="3">
      <t>チャクスウ</t>
    </rPh>
    <phoneticPr fontId="3"/>
  </si>
  <si>
    <t>2着数</t>
    <rPh sb="1" eb="3">
      <t>チャクスウ</t>
    </rPh>
    <phoneticPr fontId="3"/>
  </si>
  <si>
    <t>3着数</t>
    <rPh sb="1" eb="3">
      <t>チャクスウ</t>
    </rPh>
    <phoneticPr fontId="3"/>
  </si>
  <si>
    <t>着外数</t>
    <rPh sb="0" eb="2">
      <t>チャクガイ</t>
    </rPh>
    <rPh sb="2" eb="3">
      <t>スウ</t>
    </rPh>
    <phoneticPr fontId="3"/>
  </si>
  <si>
    <t>枠順</t>
    <rPh sb="0" eb="2">
      <t>ワクジュン</t>
    </rPh>
    <phoneticPr fontId="3"/>
  </si>
  <si>
    <t>1枠</t>
    <rPh sb="1" eb="2">
      <t>ワク</t>
    </rPh>
    <phoneticPr fontId="3"/>
  </si>
  <si>
    <t>2枠</t>
    <rPh sb="1" eb="2">
      <t>ワク</t>
    </rPh>
    <phoneticPr fontId="3"/>
  </si>
  <si>
    <t>3枠</t>
    <rPh sb="1" eb="2">
      <t>ワク</t>
    </rPh>
    <phoneticPr fontId="3"/>
  </si>
  <si>
    <t>4枠</t>
    <rPh sb="1" eb="2">
      <t>ワク</t>
    </rPh>
    <phoneticPr fontId="3"/>
  </si>
  <si>
    <t>5枠</t>
    <rPh sb="1" eb="2">
      <t>ワク</t>
    </rPh>
    <phoneticPr fontId="3"/>
  </si>
  <si>
    <t>6枠</t>
    <rPh sb="1" eb="2">
      <t>ワク</t>
    </rPh>
    <phoneticPr fontId="3"/>
  </si>
  <si>
    <t>7枠</t>
    <rPh sb="1" eb="2">
      <t>ワク</t>
    </rPh>
    <phoneticPr fontId="3"/>
  </si>
  <si>
    <t>8枠</t>
    <rPh sb="1" eb="2">
      <t>ワク</t>
    </rPh>
    <phoneticPr fontId="3"/>
  </si>
  <si>
    <t>期待値ポイント</t>
    <rPh sb="0" eb="3">
      <t>キタイチ</t>
    </rPh>
    <phoneticPr fontId="3"/>
  </si>
  <si>
    <t>【前提条件】</t>
    <rPh sb="1" eb="3">
      <t>ゼンテイ</t>
    </rPh>
    <rPh sb="3" eb="5">
      <t>ジョウケン</t>
    </rPh>
    <phoneticPr fontId="3"/>
  </si>
  <si>
    <t>・過去10年のデータを参照</t>
    <rPh sb="1" eb="3">
      <t>カコ</t>
    </rPh>
    <rPh sb="5" eb="6">
      <t>ネン</t>
    </rPh>
    <rPh sb="11" eb="13">
      <t>サンショウ</t>
    </rPh>
    <phoneticPr fontId="3"/>
  </si>
  <si>
    <t>・1着を5ポイント、2着を3ポイント、3着を2ポイントで期待値を算出</t>
    <rPh sb="2" eb="3">
      <t>チャク</t>
    </rPh>
    <rPh sb="11" eb="12">
      <t>チャク</t>
    </rPh>
    <rPh sb="20" eb="21">
      <t>チャク</t>
    </rPh>
    <rPh sb="28" eb="31">
      <t>キタイチ</t>
    </rPh>
    <rPh sb="32" eb="34">
      <t>サンシュツ</t>
    </rPh>
    <phoneticPr fontId="3"/>
  </si>
  <si>
    <t>・因果関係があると考えられるデータ</t>
    <rPh sb="1" eb="3">
      <t>インガ</t>
    </rPh>
    <rPh sb="3" eb="5">
      <t>カンケイ</t>
    </rPh>
    <rPh sb="9" eb="10">
      <t>カンガ</t>
    </rPh>
    <phoneticPr fontId="3"/>
  </si>
  <si>
    <t>成長や劣化があるため前走のみで把握</t>
    <rPh sb="0" eb="2">
      <t>セイチョウ</t>
    </rPh>
    <rPh sb="3" eb="5">
      <t>レッカ</t>
    </rPh>
    <rPh sb="10" eb="12">
      <t>ゼンソウ</t>
    </rPh>
    <rPh sb="15" eb="17">
      <t>ハアク</t>
    </rPh>
    <phoneticPr fontId="3"/>
  </si>
  <si>
    <t>種牡馬</t>
    <rPh sb="0" eb="3">
      <t>シュボバ</t>
    </rPh>
    <phoneticPr fontId="3"/>
  </si>
  <si>
    <t>ハーツクライ</t>
    <phoneticPr fontId="3"/>
  </si>
  <si>
    <t>ディープインパクト</t>
    <phoneticPr fontId="3"/>
  </si>
  <si>
    <t>スクリーンヒーロー</t>
    <phoneticPr fontId="3"/>
  </si>
  <si>
    <t>ブラックタイド</t>
    <phoneticPr fontId="3"/>
  </si>
  <si>
    <t>エピファネイア</t>
    <phoneticPr fontId="3"/>
  </si>
  <si>
    <t>バゴ</t>
    <phoneticPr fontId="3"/>
  </si>
  <si>
    <t>ハービンジャー</t>
    <phoneticPr fontId="3"/>
  </si>
  <si>
    <t>スワーヴリチャード</t>
    <phoneticPr fontId="3"/>
  </si>
  <si>
    <t>キタサンブラック</t>
    <phoneticPr fontId="3"/>
  </si>
  <si>
    <t>ドゥラメンテ</t>
    <phoneticPr fontId="3"/>
  </si>
  <si>
    <t>キングカメハメハ</t>
    <phoneticPr fontId="3"/>
  </si>
  <si>
    <t>ロードカナロア</t>
    <phoneticPr fontId="3"/>
  </si>
  <si>
    <t>マンハッタンカフェ</t>
    <phoneticPr fontId="3"/>
  </si>
  <si>
    <t>キズナ</t>
    <phoneticPr fontId="3"/>
  </si>
  <si>
    <t>ネオユニバース</t>
    <phoneticPr fontId="3"/>
  </si>
  <si>
    <t>モーリス</t>
    <phoneticPr fontId="3"/>
  </si>
  <si>
    <t>その他</t>
    <rPh sb="2" eb="3">
      <t>ホカ</t>
    </rPh>
    <phoneticPr fontId="3"/>
  </si>
  <si>
    <t>母数が10以下の場合信用性が疑わしいため期待値を半分に割引</t>
    <rPh sb="0" eb="2">
      <t>ボスウ</t>
    </rPh>
    <rPh sb="5" eb="7">
      <t>イカ</t>
    </rPh>
    <rPh sb="8" eb="10">
      <t>バアイ</t>
    </rPh>
    <rPh sb="10" eb="13">
      <t>シンヨウセイ</t>
    </rPh>
    <rPh sb="14" eb="15">
      <t>ウタガ</t>
    </rPh>
    <rPh sb="20" eb="23">
      <t>キタイチ</t>
    </rPh>
    <rPh sb="24" eb="26">
      <t>ハンブン</t>
    </rPh>
    <rPh sb="27" eb="29">
      <t>ワリビキ</t>
    </rPh>
    <phoneticPr fontId="3"/>
  </si>
  <si>
    <t>クラス</t>
    <phoneticPr fontId="3"/>
  </si>
  <si>
    <t>G3</t>
    <phoneticPr fontId="3"/>
  </si>
  <si>
    <t>G2</t>
    <phoneticPr fontId="3"/>
  </si>
  <si>
    <t>G1</t>
    <phoneticPr fontId="3"/>
  </si>
  <si>
    <t>海外</t>
    <rPh sb="0" eb="2">
      <t>カイガイ</t>
    </rPh>
    <phoneticPr fontId="3"/>
  </si>
  <si>
    <t>天皇賞秋</t>
    <rPh sb="0" eb="3">
      <t>テンノウショウ</t>
    </rPh>
    <rPh sb="3" eb="4">
      <t>アキ</t>
    </rPh>
    <phoneticPr fontId="3"/>
  </si>
  <si>
    <t>ジャパンカップ</t>
    <phoneticPr fontId="3"/>
  </si>
  <si>
    <t>菊花賞</t>
    <rPh sb="0" eb="3">
      <t>キッカショウ</t>
    </rPh>
    <phoneticPr fontId="3"/>
  </si>
  <si>
    <t>エリザベス女王杯</t>
    <rPh sb="5" eb="8">
      <t>ジョウオウハイ</t>
    </rPh>
    <phoneticPr fontId="3"/>
  </si>
  <si>
    <t>アルゼンチン共和国杯</t>
    <rPh sb="6" eb="10">
      <t>キョウワコクハイ</t>
    </rPh>
    <phoneticPr fontId="3"/>
  </si>
  <si>
    <t>コックスプレート</t>
    <phoneticPr fontId="3"/>
  </si>
  <si>
    <t>凱旋門賞</t>
    <rPh sb="0" eb="4">
      <t>ガイセンモンショウ</t>
    </rPh>
    <phoneticPr fontId="3"/>
  </si>
  <si>
    <t>BCターフ</t>
    <phoneticPr fontId="3"/>
  </si>
  <si>
    <t>騎手名</t>
    <rPh sb="0" eb="2">
      <t>キシュ</t>
    </rPh>
    <rPh sb="2" eb="3">
      <t>メイ</t>
    </rPh>
    <phoneticPr fontId="3"/>
  </si>
  <si>
    <t>定量：馬体重増減　定性：パドック状態</t>
    <rPh sb="0" eb="2">
      <t>テイリョウ</t>
    </rPh>
    <rPh sb="3" eb="6">
      <t>バタイジュウ</t>
    </rPh>
    <rPh sb="6" eb="8">
      <t>ゾウゲン</t>
    </rPh>
    <rPh sb="9" eb="11">
      <t>テイセイ</t>
    </rPh>
    <rPh sb="16" eb="18">
      <t>ジョウタイ</t>
    </rPh>
    <phoneticPr fontId="3"/>
  </si>
  <si>
    <t>C.ルメール</t>
    <phoneticPr fontId="3"/>
  </si>
  <si>
    <t>武豊</t>
    <rPh sb="0" eb="2">
      <t>タケユタカ</t>
    </rPh>
    <phoneticPr fontId="3"/>
  </si>
  <si>
    <t>池添謙一</t>
    <rPh sb="0" eb="4">
      <t>イケゾエケンイチ</t>
    </rPh>
    <phoneticPr fontId="3"/>
  </si>
  <si>
    <t>戸崎圭太</t>
    <rPh sb="0" eb="4">
      <t>トサキケイタ</t>
    </rPh>
    <phoneticPr fontId="3"/>
  </si>
  <si>
    <t>C. デムーロ</t>
    <phoneticPr fontId="3"/>
  </si>
  <si>
    <t>松山弘平</t>
    <rPh sb="0" eb="4">
      <t>マツヤマコウヘイ</t>
    </rPh>
    <phoneticPr fontId="3"/>
  </si>
  <si>
    <t>横山典弘</t>
    <rPh sb="0" eb="4">
      <t>ヨコヤマノリヒロ</t>
    </rPh>
    <phoneticPr fontId="3"/>
  </si>
  <si>
    <t>川田将雅</t>
    <rPh sb="0" eb="4">
      <t>カワダユウガ</t>
    </rPh>
    <phoneticPr fontId="3"/>
  </si>
  <si>
    <t>坂井瑠星</t>
    <rPh sb="0" eb="4">
      <t>サカイリュウセイ</t>
    </rPh>
    <phoneticPr fontId="3"/>
  </si>
  <si>
    <t>T.マーカンド</t>
    <phoneticPr fontId="3"/>
  </si>
  <si>
    <t>藤岡佑介</t>
    <rPh sb="0" eb="4">
      <t>フジオカユウスケ</t>
    </rPh>
    <phoneticPr fontId="3"/>
  </si>
  <si>
    <t>岩田望来</t>
    <rPh sb="0" eb="3">
      <t>イワタノゾミ</t>
    </rPh>
    <rPh sb="3" eb="4">
      <t>ク</t>
    </rPh>
    <phoneticPr fontId="3"/>
  </si>
  <si>
    <t>北村友一</t>
    <rPh sb="0" eb="4">
      <t>キタムラユウイチ</t>
    </rPh>
    <phoneticPr fontId="3"/>
  </si>
  <si>
    <t>丹内祐次</t>
    <phoneticPr fontId="3"/>
  </si>
  <si>
    <t>横山武史</t>
    <phoneticPr fontId="3"/>
  </si>
  <si>
    <t>荻野極</t>
    <phoneticPr fontId="3"/>
  </si>
  <si>
    <t>出走数（中山2500m）</t>
    <rPh sb="0" eb="3">
      <t>シュッソウスウ</t>
    </rPh>
    <rPh sb="4" eb="6">
      <t>ナカヤマ</t>
    </rPh>
    <phoneticPr fontId="3"/>
  </si>
  <si>
    <t>西村淳也</t>
    <phoneticPr fontId="3"/>
  </si>
  <si>
    <t>A.プーシャン</t>
    <phoneticPr fontId="3"/>
  </si>
  <si>
    <t>団野大成</t>
    <phoneticPr fontId="3"/>
  </si>
  <si>
    <t>松本大輝</t>
    <rPh sb="0" eb="4">
      <t>マツモトダイキ</t>
    </rPh>
    <phoneticPr fontId="3"/>
  </si>
  <si>
    <t>体重増減</t>
    <rPh sb="0" eb="4">
      <t>タイジュウゾウゲン</t>
    </rPh>
    <phoneticPr fontId="3"/>
  </si>
  <si>
    <t>+10kg以上</t>
    <rPh sb="5" eb="7">
      <t>イジョウ</t>
    </rPh>
    <phoneticPr fontId="3"/>
  </si>
  <si>
    <t>+3kg~9kg</t>
    <phoneticPr fontId="3"/>
  </si>
  <si>
    <t>+-2kg</t>
    <phoneticPr fontId="3"/>
  </si>
  <si>
    <t>-3kg~9kg</t>
    <phoneticPr fontId="3"/>
  </si>
  <si>
    <t>-10kg以下</t>
    <rPh sb="5" eb="7">
      <t>イカ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</si>
</sst>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%"/>
    <numFmt numFmtId="177" formatCode="#,##0.00_);[Red]\(#,##0.00\)"/>
  </numFmts>
  <fonts count="6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2"/>
      <scheme val="minor"/>
    </font>
    <font>
      <sz val="11"/>
      <color theme="0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13">
    <xf numFmtId="0" fontId="0" fillId="0" borderId="0" xfId="0">
      <alignment vertical="center"/>
    </xf>
    <xf numFmtId="9" fontId="0" fillId="0" borderId="0" xfId="1" applyFont="1">
      <alignment vertical="center"/>
    </xf>
    <xf numFmtId="176" fontId="0" fillId="0" borderId="0" xfId="1" applyNumberFormat="1" applyFont="1">
      <alignment vertical="center"/>
    </xf>
    <xf numFmtId="177" fontId="0" fillId="0" borderId="0" xfId="0" applyNumberFormat="1">
      <alignment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>
      <alignment vertical="center"/>
    </xf>
    <xf numFmtId="9" fontId="5" fillId="2" borderId="1" xfId="1" applyFont="1" applyFill="1" applyBorder="1">
      <alignment vertical="center"/>
    </xf>
    <xf numFmtId="177" fontId="5" fillId="2" borderId="1" xfId="1" applyNumberFormat="1" applyFont="1" applyFill="1" applyBorder="1">
      <alignment vertical="center"/>
    </xf>
    <xf numFmtId="0" fontId="0" fillId="0" borderId="1" xfId="0" applyBorder="1">
      <alignment vertical="center"/>
    </xf>
    <xf numFmtId="176" fontId="0" fillId="0" borderId="1" xfId="1" applyNumberFormat="1" applyFont="1" applyBorder="1">
      <alignment vertical="center"/>
    </xf>
    <xf numFmtId="177" fontId="0" fillId="0" borderId="1" xfId="0" applyNumberFormat="1" applyBorder="1">
      <alignment vertical="center"/>
    </xf>
    <xf numFmtId="176" fontId="5" fillId="2" borderId="1" xfId="1" applyNumberFormat="1" applyFont="1" applyFill="1" applyBorder="1">
      <alignment vertical="center"/>
    </xf>
    <xf numFmtId="0" fontId="0" fillId="0" borderId="1" xfId="0" quotePrefix="1" applyBorder="1">
      <alignment vertical="center"/>
    </xf>
  </cellXfs>
  <cellStyles count="3">
    <cellStyle name="パーセント" xfId="1" builtinId="5"/>
    <cellStyle name="標準" xfId="0" builtinId="0"/>
    <cellStyle name="標準 2" xfId="2" xr:uid="{750076A7-B940-4E9A-B706-CEA0AC73812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F0844-CB90-4C6C-B847-B0906C0829A4}">
  <dimension ref="A1:C11"/>
  <sheetViews>
    <sheetView showGridLines="0" tabSelected="1" workbookViewId="0">
      <selection activeCell="C11" sqref="C11"/>
    </sheetView>
  </sheetViews>
  <sheetFormatPr defaultRowHeight="18" x14ac:dyDescent="0.55000000000000004"/>
  <cols>
    <col min="2" max="2" width="14.83203125" customWidth="1"/>
    <col min="5" max="6" width="12" customWidth="1"/>
  </cols>
  <sheetData>
    <row r="1" spans="1:3" x14ac:dyDescent="0.55000000000000004">
      <c r="A1" t="s">
        <v>30</v>
      </c>
    </row>
    <row r="2" spans="1:3" x14ac:dyDescent="0.55000000000000004">
      <c r="A2" t="s">
        <v>31</v>
      </c>
    </row>
    <row r="3" spans="1:3" x14ac:dyDescent="0.55000000000000004">
      <c r="A3" t="s">
        <v>32</v>
      </c>
    </row>
    <row r="4" spans="1:3" x14ac:dyDescent="0.55000000000000004">
      <c r="B4" t="s">
        <v>53</v>
      </c>
    </row>
    <row r="5" spans="1:3" x14ac:dyDescent="0.55000000000000004">
      <c r="A5" t="s">
        <v>33</v>
      </c>
    </row>
    <row r="6" spans="1:3" x14ac:dyDescent="0.55000000000000004">
      <c r="B6" t="s">
        <v>5</v>
      </c>
    </row>
    <row r="7" spans="1:3" x14ac:dyDescent="0.55000000000000004">
      <c r="B7" t="s">
        <v>6</v>
      </c>
    </row>
    <row r="8" spans="1:3" x14ac:dyDescent="0.55000000000000004">
      <c r="B8" t="s">
        <v>7</v>
      </c>
    </row>
    <row r="9" spans="1:3" x14ac:dyDescent="0.55000000000000004">
      <c r="B9" t="s">
        <v>8</v>
      </c>
    </row>
    <row r="10" spans="1:3" x14ac:dyDescent="0.55000000000000004">
      <c r="B10" t="s">
        <v>9</v>
      </c>
      <c r="C10" t="s">
        <v>68</v>
      </c>
    </row>
    <row r="11" spans="1:3" x14ac:dyDescent="0.55000000000000004">
      <c r="B11" t="s">
        <v>10</v>
      </c>
      <c r="C11" t="s">
        <v>34</v>
      </c>
    </row>
  </sheetData>
  <phoneticPr fontId="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C2E53-3B19-4731-AC3B-058A7B0F00C2}">
  <dimension ref="A1:J6"/>
  <sheetViews>
    <sheetView showGridLines="0" workbookViewId="0">
      <selection activeCell="F10" sqref="F10"/>
    </sheetView>
  </sheetViews>
  <sheetFormatPr defaultRowHeight="18" x14ac:dyDescent="0.55000000000000004"/>
  <cols>
    <col min="7" max="9" width="8.6640625" style="1"/>
    <col min="10" max="10" width="15.5" style="3" customWidth="1"/>
  </cols>
  <sheetData>
    <row r="1" spans="1:10" s="4" customFormat="1" x14ac:dyDescent="0.55000000000000004">
      <c r="A1" s="5" t="s">
        <v>0</v>
      </c>
      <c r="B1" s="5" t="s">
        <v>11</v>
      </c>
      <c r="C1" s="5" t="s">
        <v>16</v>
      </c>
      <c r="D1" s="5" t="s">
        <v>17</v>
      </c>
      <c r="E1" s="5" t="s">
        <v>18</v>
      </c>
      <c r="F1" s="5" t="s">
        <v>19</v>
      </c>
      <c r="G1" s="6" t="s">
        <v>12</v>
      </c>
      <c r="H1" s="6" t="s">
        <v>13</v>
      </c>
      <c r="I1" s="6" t="s">
        <v>14</v>
      </c>
      <c r="J1" s="7" t="s">
        <v>29</v>
      </c>
    </row>
    <row r="2" spans="1:10" x14ac:dyDescent="0.55000000000000004">
      <c r="A2" s="8" t="s">
        <v>1</v>
      </c>
      <c r="B2" s="8">
        <v>26</v>
      </c>
      <c r="C2" s="8">
        <v>5</v>
      </c>
      <c r="D2" s="8">
        <v>2</v>
      </c>
      <c r="E2" s="8">
        <v>3</v>
      </c>
      <c r="F2" s="8">
        <v>16</v>
      </c>
      <c r="G2" s="9">
        <f>C2/B2</f>
        <v>0.19230769230769232</v>
      </c>
      <c r="H2" s="9">
        <f>(D2+C2)/B2</f>
        <v>0.26923076923076922</v>
      </c>
      <c r="I2" s="9">
        <f>(C2+D2+E2)/B2</f>
        <v>0.38461538461538464</v>
      </c>
      <c r="J2" s="10">
        <f>(C2*5+D2*3+E2*2)/B2</f>
        <v>1.4230769230769231</v>
      </c>
    </row>
    <row r="3" spans="1:10" x14ac:dyDescent="0.55000000000000004">
      <c r="A3" s="8" t="s">
        <v>2</v>
      </c>
      <c r="B3" s="8">
        <v>43</v>
      </c>
      <c r="C3" s="8">
        <v>3</v>
      </c>
      <c r="D3" s="8">
        <v>5</v>
      </c>
      <c r="E3" s="8">
        <v>1</v>
      </c>
      <c r="F3" s="8">
        <v>34</v>
      </c>
      <c r="G3" s="9">
        <f t="shared" ref="G3:G6" si="0">C3/B3</f>
        <v>6.9767441860465115E-2</v>
      </c>
      <c r="H3" s="9">
        <f t="shared" ref="H3:H6" si="1">(D3+C3)/B3</f>
        <v>0.18604651162790697</v>
      </c>
      <c r="I3" s="9">
        <f t="shared" ref="I3:I6" si="2">(C3+D3+E3)/B3</f>
        <v>0.20930232558139536</v>
      </c>
      <c r="J3" s="10">
        <f t="shared" ref="J3:J6" si="3">(C3*5+D3*3+E3*2)/B3</f>
        <v>0.7441860465116279</v>
      </c>
    </row>
    <row r="4" spans="1:10" x14ac:dyDescent="0.55000000000000004">
      <c r="A4" s="8" t="s">
        <v>3</v>
      </c>
      <c r="B4" s="8">
        <v>52</v>
      </c>
      <c r="C4" s="8">
        <v>2</v>
      </c>
      <c r="D4" s="8">
        <v>2</v>
      </c>
      <c r="E4" s="8">
        <v>5</v>
      </c>
      <c r="F4" s="8">
        <v>43</v>
      </c>
      <c r="G4" s="9">
        <f t="shared" si="0"/>
        <v>3.8461538461538464E-2</v>
      </c>
      <c r="H4" s="9">
        <f t="shared" si="1"/>
        <v>7.6923076923076927E-2</v>
      </c>
      <c r="I4" s="9">
        <f t="shared" si="2"/>
        <v>0.17307692307692307</v>
      </c>
      <c r="J4" s="10">
        <f t="shared" si="3"/>
        <v>0.5</v>
      </c>
    </row>
    <row r="5" spans="1:10" x14ac:dyDescent="0.55000000000000004">
      <c r="A5" s="8" t="s">
        <v>4</v>
      </c>
      <c r="B5" s="8">
        <v>22</v>
      </c>
      <c r="C5" s="8">
        <v>0</v>
      </c>
      <c r="D5" s="8">
        <v>1</v>
      </c>
      <c r="E5" s="8">
        <v>1</v>
      </c>
      <c r="F5" s="8">
        <v>20</v>
      </c>
      <c r="G5" s="9">
        <f t="shared" si="0"/>
        <v>0</v>
      </c>
      <c r="H5" s="9">
        <f t="shared" si="1"/>
        <v>4.5454545454545456E-2</v>
      </c>
      <c r="I5" s="9">
        <f t="shared" si="2"/>
        <v>9.0909090909090912E-2</v>
      </c>
      <c r="J5" s="10">
        <f t="shared" si="3"/>
        <v>0.22727272727272727</v>
      </c>
    </row>
    <row r="6" spans="1:10" x14ac:dyDescent="0.55000000000000004">
      <c r="A6" s="8" t="s">
        <v>15</v>
      </c>
      <c r="B6" s="8">
        <v>10</v>
      </c>
      <c r="C6" s="8">
        <v>0</v>
      </c>
      <c r="D6" s="8">
        <v>0</v>
      </c>
      <c r="E6" s="8">
        <v>0</v>
      </c>
      <c r="F6" s="8">
        <v>10</v>
      </c>
      <c r="G6" s="9">
        <f t="shared" si="0"/>
        <v>0</v>
      </c>
      <c r="H6" s="9">
        <f t="shared" si="1"/>
        <v>0</v>
      </c>
      <c r="I6" s="9">
        <f t="shared" si="2"/>
        <v>0</v>
      </c>
      <c r="J6" s="10">
        <f t="shared" si="3"/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5189F-23F2-4292-838A-C63FDF82FA16}">
  <dimension ref="A1:J9"/>
  <sheetViews>
    <sheetView showGridLines="0" workbookViewId="0">
      <selection activeCell="F10" sqref="F10"/>
    </sheetView>
  </sheetViews>
  <sheetFormatPr defaultRowHeight="18" x14ac:dyDescent="0.55000000000000004"/>
  <cols>
    <col min="7" max="9" width="8.6640625" style="2"/>
    <col min="10" max="10" width="15.4140625" style="3" customWidth="1"/>
  </cols>
  <sheetData>
    <row r="1" spans="1:10" s="4" customFormat="1" x14ac:dyDescent="0.55000000000000004">
      <c r="A1" s="5" t="s">
        <v>20</v>
      </c>
      <c r="B1" s="5" t="s">
        <v>11</v>
      </c>
      <c r="C1" s="5" t="s">
        <v>16</v>
      </c>
      <c r="D1" s="5" t="s">
        <v>17</v>
      </c>
      <c r="E1" s="5" t="s">
        <v>18</v>
      </c>
      <c r="F1" s="5" t="s">
        <v>19</v>
      </c>
      <c r="G1" s="11" t="s">
        <v>12</v>
      </c>
      <c r="H1" s="11" t="s">
        <v>13</v>
      </c>
      <c r="I1" s="11" t="s">
        <v>14</v>
      </c>
      <c r="J1" s="7" t="s">
        <v>29</v>
      </c>
    </row>
    <row r="2" spans="1:10" x14ac:dyDescent="0.55000000000000004">
      <c r="A2" s="8" t="s">
        <v>21</v>
      </c>
      <c r="B2" s="8">
        <v>19</v>
      </c>
      <c r="C2" s="8">
        <v>1</v>
      </c>
      <c r="D2" s="8">
        <v>1</v>
      </c>
      <c r="E2" s="8">
        <v>2</v>
      </c>
      <c r="F2" s="8">
        <v>15</v>
      </c>
      <c r="G2" s="9">
        <f>C2/B2</f>
        <v>5.2631578947368418E-2</v>
      </c>
      <c r="H2" s="9">
        <f>(C2+D2)/B2</f>
        <v>0.10526315789473684</v>
      </c>
      <c r="I2" s="9">
        <f>(C2+D2+E2)/B2</f>
        <v>0.21052631578947367</v>
      </c>
      <c r="J2" s="10">
        <f>(C2*5+D2*3+E2*2)/B2</f>
        <v>0.63157894736842102</v>
      </c>
    </row>
    <row r="3" spans="1:10" x14ac:dyDescent="0.55000000000000004">
      <c r="A3" s="8" t="s">
        <v>22</v>
      </c>
      <c r="B3" s="8">
        <v>20</v>
      </c>
      <c r="C3" s="8">
        <v>0</v>
      </c>
      <c r="D3" s="8">
        <v>2</v>
      </c>
      <c r="E3" s="8">
        <v>1</v>
      </c>
      <c r="F3" s="8">
        <v>17</v>
      </c>
      <c r="G3" s="9">
        <f t="shared" ref="G3:G9" si="0">C3/B3</f>
        <v>0</v>
      </c>
      <c r="H3" s="9">
        <f t="shared" ref="H3:H9" si="1">(C3+D3)/B3</f>
        <v>0.1</v>
      </c>
      <c r="I3" s="9">
        <f t="shared" ref="I3:I9" si="2">(C3+D3+E3)/B3</f>
        <v>0.15</v>
      </c>
      <c r="J3" s="10">
        <f t="shared" ref="J3:J9" si="3">(C3*5+D3*3+E3*2)/B3</f>
        <v>0.4</v>
      </c>
    </row>
    <row r="4" spans="1:10" x14ac:dyDescent="0.55000000000000004">
      <c r="A4" s="8" t="s">
        <v>23</v>
      </c>
      <c r="B4" s="8">
        <v>20</v>
      </c>
      <c r="C4" s="8">
        <v>2</v>
      </c>
      <c r="D4" s="8">
        <v>1</v>
      </c>
      <c r="E4" s="8">
        <v>1</v>
      </c>
      <c r="F4" s="8">
        <v>16</v>
      </c>
      <c r="G4" s="9">
        <f t="shared" si="0"/>
        <v>0.1</v>
      </c>
      <c r="H4" s="9">
        <f t="shared" si="1"/>
        <v>0.15</v>
      </c>
      <c r="I4" s="9">
        <f t="shared" si="2"/>
        <v>0.2</v>
      </c>
      <c r="J4" s="10">
        <f t="shared" si="3"/>
        <v>0.75</v>
      </c>
    </row>
    <row r="5" spans="1:10" x14ac:dyDescent="0.55000000000000004">
      <c r="A5" s="8" t="s">
        <v>24</v>
      </c>
      <c r="B5" s="8">
        <v>20</v>
      </c>
      <c r="C5" s="8">
        <v>3</v>
      </c>
      <c r="D5" s="8">
        <v>0</v>
      </c>
      <c r="E5" s="8">
        <v>2</v>
      </c>
      <c r="F5" s="8">
        <v>15</v>
      </c>
      <c r="G5" s="9">
        <f t="shared" si="0"/>
        <v>0.15</v>
      </c>
      <c r="H5" s="9">
        <f t="shared" si="1"/>
        <v>0.15</v>
      </c>
      <c r="I5" s="9">
        <f t="shared" si="2"/>
        <v>0.25</v>
      </c>
      <c r="J5" s="10">
        <f t="shared" si="3"/>
        <v>0.95</v>
      </c>
    </row>
    <row r="6" spans="1:10" x14ac:dyDescent="0.55000000000000004">
      <c r="A6" s="8" t="s">
        <v>25</v>
      </c>
      <c r="B6" s="8">
        <v>20</v>
      </c>
      <c r="C6" s="8">
        <v>3</v>
      </c>
      <c r="D6" s="8">
        <v>2</v>
      </c>
      <c r="E6" s="8">
        <v>1</v>
      </c>
      <c r="F6" s="8">
        <v>14</v>
      </c>
      <c r="G6" s="9">
        <f t="shared" si="0"/>
        <v>0.15</v>
      </c>
      <c r="H6" s="9">
        <f t="shared" si="1"/>
        <v>0.25</v>
      </c>
      <c r="I6" s="9">
        <f t="shared" si="2"/>
        <v>0.3</v>
      </c>
      <c r="J6" s="10">
        <f t="shared" si="3"/>
        <v>1.1499999999999999</v>
      </c>
    </row>
    <row r="7" spans="1:10" x14ac:dyDescent="0.55000000000000004">
      <c r="A7" s="8" t="s">
        <v>26</v>
      </c>
      <c r="B7" s="8">
        <v>20</v>
      </c>
      <c r="C7" s="8">
        <v>1</v>
      </c>
      <c r="D7" s="8">
        <v>1</v>
      </c>
      <c r="E7" s="8">
        <v>1</v>
      </c>
      <c r="F7" s="8">
        <v>17</v>
      </c>
      <c r="G7" s="9">
        <f t="shared" si="0"/>
        <v>0.05</v>
      </c>
      <c r="H7" s="9">
        <f t="shared" si="1"/>
        <v>0.1</v>
      </c>
      <c r="I7" s="9">
        <f t="shared" si="2"/>
        <v>0.15</v>
      </c>
      <c r="J7" s="10">
        <f t="shared" si="3"/>
        <v>0.5</v>
      </c>
    </row>
    <row r="8" spans="1:10" x14ac:dyDescent="0.55000000000000004">
      <c r="A8" s="8" t="s">
        <v>27</v>
      </c>
      <c r="B8" s="8">
        <v>20</v>
      </c>
      <c r="C8" s="8">
        <v>0</v>
      </c>
      <c r="D8" s="8">
        <v>1</v>
      </c>
      <c r="E8" s="8">
        <v>1</v>
      </c>
      <c r="F8" s="8">
        <v>18</v>
      </c>
      <c r="G8" s="9">
        <f t="shared" si="0"/>
        <v>0</v>
      </c>
      <c r="H8" s="9">
        <f t="shared" si="1"/>
        <v>0.05</v>
      </c>
      <c r="I8" s="9">
        <f t="shared" si="2"/>
        <v>0.1</v>
      </c>
      <c r="J8" s="10">
        <f t="shared" si="3"/>
        <v>0.25</v>
      </c>
    </row>
    <row r="9" spans="1:10" x14ac:dyDescent="0.55000000000000004">
      <c r="A9" s="8" t="s">
        <v>28</v>
      </c>
      <c r="B9" s="8">
        <v>20</v>
      </c>
      <c r="C9" s="8">
        <v>0</v>
      </c>
      <c r="D9" s="8">
        <v>2</v>
      </c>
      <c r="E9" s="8">
        <v>1</v>
      </c>
      <c r="F9" s="8">
        <v>17</v>
      </c>
      <c r="G9" s="9">
        <f t="shared" si="0"/>
        <v>0</v>
      </c>
      <c r="H9" s="9">
        <f t="shared" si="1"/>
        <v>0.1</v>
      </c>
      <c r="I9" s="9">
        <f t="shared" si="2"/>
        <v>0.15</v>
      </c>
      <c r="J9" s="10">
        <f t="shared" si="3"/>
        <v>0.4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238F1-6976-48A6-A6B4-98B362CA99BF}">
  <dimension ref="A1:J21"/>
  <sheetViews>
    <sheetView showGridLines="0" workbookViewId="0">
      <selection activeCell="J23" sqref="J23"/>
    </sheetView>
  </sheetViews>
  <sheetFormatPr defaultRowHeight="18" x14ac:dyDescent="0.55000000000000004"/>
  <cols>
    <col min="1" max="1" width="14.75" customWidth="1"/>
    <col min="2" max="2" width="19.58203125" customWidth="1"/>
    <col min="7" max="9" width="8.6640625" style="2"/>
    <col min="10" max="10" width="15.4140625" style="3" customWidth="1"/>
  </cols>
  <sheetData>
    <row r="1" spans="1:10" s="4" customFormat="1" x14ac:dyDescent="0.55000000000000004">
      <c r="A1" s="5" t="s">
        <v>67</v>
      </c>
      <c r="B1" s="5" t="s">
        <v>85</v>
      </c>
      <c r="C1" s="5" t="s">
        <v>16</v>
      </c>
      <c r="D1" s="5" t="s">
        <v>17</v>
      </c>
      <c r="E1" s="5" t="s">
        <v>18</v>
      </c>
      <c r="F1" s="5" t="s">
        <v>19</v>
      </c>
      <c r="G1" s="11" t="s">
        <v>12</v>
      </c>
      <c r="H1" s="11" t="s">
        <v>13</v>
      </c>
      <c r="I1" s="11" t="s">
        <v>14</v>
      </c>
      <c r="J1" s="7" t="s">
        <v>29</v>
      </c>
    </row>
    <row r="2" spans="1:10" x14ac:dyDescent="0.55000000000000004">
      <c r="A2" s="8" t="s">
        <v>69</v>
      </c>
      <c r="B2" s="8">
        <v>16</v>
      </c>
      <c r="C2" s="8">
        <v>5</v>
      </c>
      <c r="D2" s="8">
        <v>3</v>
      </c>
      <c r="E2" s="8">
        <v>3</v>
      </c>
      <c r="F2" s="8">
        <v>5</v>
      </c>
      <c r="G2" s="9">
        <f>C2/B2</f>
        <v>0.3125</v>
      </c>
      <c r="H2" s="9">
        <f>(C2+D2)/B2</f>
        <v>0.5</v>
      </c>
      <c r="I2" s="9">
        <f>(C2+D2+E2)/B2</f>
        <v>0.6875</v>
      </c>
      <c r="J2" s="10">
        <f>(C2*5+D2*3+E2*2)/B2</f>
        <v>2.5</v>
      </c>
    </row>
    <row r="3" spans="1:10" x14ac:dyDescent="0.55000000000000004">
      <c r="A3" s="8" t="s">
        <v>70</v>
      </c>
      <c r="B3" s="8">
        <v>10</v>
      </c>
      <c r="C3" s="8">
        <v>3</v>
      </c>
      <c r="D3" s="8">
        <v>1</v>
      </c>
      <c r="E3" s="8">
        <v>1</v>
      </c>
      <c r="F3" s="8">
        <v>5</v>
      </c>
      <c r="G3" s="9">
        <f t="shared" ref="G3:G9" si="0">C3/B3</f>
        <v>0.3</v>
      </c>
      <c r="H3" s="9">
        <f t="shared" ref="H3:H9" si="1">(C3+D3)/B3</f>
        <v>0.4</v>
      </c>
      <c r="I3" s="9">
        <f t="shared" ref="I3:I9" si="2">(C3+D3+E3)/B3</f>
        <v>0.5</v>
      </c>
      <c r="J3" s="10">
        <f t="shared" ref="J3:J9" si="3">(C3*5+D3*3+E3*2)/B3</f>
        <v>2</v>
      </c>
    </row>
    <row r="4" spans="1:10" x14ac:dyDescent="0.55000000000000004">
      <c r="A4" s="8" t="s">
        <v>71</v>
      </c>
      <c r="B4" s="8">
        <v>7</v>
      </c>
      <c r="C4" s="8">
        <v>1</v>
      </c>
      <c r="D4" s="8">
        <v>0</v>
      </c>
      <c r="E4" s="8">
        <v>0</v>
      </c>
      <c r="F4" s="8">
        <v>6</v>
      </c>
      <c r="G4" s="9">
        <f t="shared" si="0"/>
        <v>0.14285714285714285</v>
      </c>
      <c r="H4" s="9">
        <f t="shared" si="1"/>
        <v>0.14285714285714285</v>
      </c>
      <c r="I4" s="9">
        <f t="shared" si="2"/>
        <v>0.14285714285714285</v>
      </c>
      <c r="J4" s="10">
        <f t="shared" si="3"/>
        <v>0.7142857142857143</v>
      </c>
    </row>
    <row r="5" spans="1:10" x14ac:dyDescent="0.55000000000000004">
      <c r="A5" s="8" t="s">
        <v>72</v>
      </c>
      <c r="B5" s="8">
        <v>18</v>
      </c>
      <c r="C5" s="8">
        <v>1</v>
      </c>
      <c r="D5" s="8">
        <v>2</v>
      </c>
      <c r="E5" s="8">
        <v>0</v>
      </c>
      <c r="F5" s="8">
        <v>15</v>
      </c>
      <c r="G5" s="9">
        <f t="shared" si="0"/>
        <v>5.5555555555555552E-2</v>
      </c>
      <c r="H5" s="9">
        <f t="shared" si="1"/>
        <v>0.16666666666666666</v>
      </c>
      <c r="I5" s="9">
        <f t="shared" si="2"/>
        <v>0.16666666666666666</v>
      </c>
      <c r="J5" s="10">
        <f t="shared" si="3"/>
        <v>0.61111111111111116</v>
      </c>
    </row>
    <row r="6" spans="1:10" x14ac:dyDescent="0.55000000000000004">
      <c r="A6" s="8" t="s">
        <v>73</v>
      </c>
      <c r="B6" s="8">
        <v>9</v>
      </c>
      <c r="C6" s="8">
        <v>1</v>
      </c>
      <c r="D6" s="8">
        <v>1</v>
      </c>
      <c r="E6" s="8">
        <v>2</v>
      </c>
      <c r="F6" s="8">
        <v>5</v>
      </c>
      <c r="G6" s="9">
        <f t="shared" si="0"/>
        <v>0.1111111111111111</v>
      </c>
      <c r="H6" s="9">
        <f t="shared" si="1"/>
        <v>0.22222222222222221</v>
      </c>
      <c r="I6" s="9">
        <f t="shared" si="2"/>
        <v>0.44444444444444442</v>
      </c>
      <c r="J6" s="10">
        <f t="shared" si="3"/>
        <v>1.3333333333333333</v>
      </c>
    </row>
    <row r="7" spans="1:10" x14ac:dyDescent="0.55000000000000004">
      <c r="A7" s="8" t="s">
        <v>74</v>
      </c>
      <c r="B7" s="8">
        <v>10</v>
      </c>
      <c r="C7" s="8">
        <v>0</v>
      </c>
      <c r="D7" s="8">
        <v>2</v>
      </c>
      <c r="E7" s="8">
        <v>1</v>
      </c>
      <c r="F7" s="8">
        <v>7</v>
      </c>
      <c r="G7" s="9">
        <f t="shared" si="0"/>
        <v>0</v>
      </c>
      <c r="H7" s="9">
        <f t="shared" si="1"/>
        <v>0.2</v>
      </c>
      <c r="I7" s="9">
        <f t="shared" si="2"/>
        <v>0.3</v>
      </c>
      <c r="J7" s="10">
        <f t="shared" si="3"/>
        <v>0.8</v>
      </c>
    </row>
    <row r="8" spans="1:10" x14ac:dyDescent="0.55000000000000004">
      <c r="A8" s="8" t="s">
        <v>75</v>
      </c>
      <c r="B8" s="8">
        <v>10</v>
      </c>
      <c r="C8" s="8">
        <v>0</v>
      </c>
      <c r="D8" s="8">
        <v>0</v>
      </c>
      <c r="E8" s="8">
        <v>4</v>
      </c>
      <c r="F8" s="8">
        <v>6</v>
      </c>
      <c r="G8" s="9">
        <f t="shared" si="0"/>
        <v>0</v>
      </c>
      <c r="H8" s="9">
        <f t="shared" si="1"/>
        <v>0</v>
      </c>
      <c r="I8" s="9">
        <f t="shared" si="2"/>
        <v>0.4</v>
      </c>
      <c r="J8" s="10">
        <f t="shared" si="3"/>
        <v>0.8</v>
      </c>
    </row>
    <row r="9" spans="1:10" x14ac:dyDescent="0.55000000000000004">
      <c r="A9" s="8" t="s">
        <v>76</v>
      </c>
      <c r="B9" s="8">
        <v>12</v>
      </c>
      <c r="C9" s="8">
        <v>0</v>
      </c>
      <c r="D9" s="8">
        <v>0</v>
      </c>
      <c r="E9" s="8">
        <v>0</v>
      </c>
      <c r="F9" s="8">
        <v>12</v>
      </c>
      <c r="G9" s="9">
        <f t="shared" si="0"/>
        <v>0</v>
      </c>
      <c r="H9" s="9">
        <f t="shared" si="1"/>
        <v>0</v>
      </c>
      <c r="I9" s="9">
        <f t="shared" si="2"/>
        <v>0</v>
      </c>
      <c r="J9" s="10">
        <f t="shared" si="3"/>
        <v>0</v>
      </c>
    </row>
    <row r="10" spans="1:10" x14ac:dyDescent="0.55000000000000004">
      <c r="A10" s="8" t="s">
        <v>77</v>
      </c>
      <c r="B10" s="8">
        <v>6</v>
      </c>
      <c r="C10" s="8">
        <v>0</v>
      </c>
      <c r="D10" s="8">
        <v>1</v>
      </c>
      <c r="E10" s="8">
        <v>1</v>
      </c>
      <c r="F10" s="8">
        <v>4</v>
      </c>
      <c r="G10" s="9">
        <f t="shared" ref="G10:G16" si="4">C10/B10</f>
        <v>0</v>
      </c>
      <c r="H10" s="9">
        <f t="shared" ref="H10:H16" si="5">(C10+D10)/B10</f>
        <v>0.16666666666666666</v>
      </c>
      <c r="I10" s="9">
        <f t="shared" ref="I10:I16" si="6">(C10+D10+E10)/B10</f>
        <v>0.33333333333333331</v>
      </c>
      <c r="J10" s="10">
        <f t="shared" ref="J10:J16" si="7">(C10*5+D10*3+E10*2)/B10</f>
        <v>0.83333333333333337</v>
      </c>
    </row>
    <row r="11" spans="1:10" x14ac:dyDescent="0.55000000000000004">
      <c r="A11" s="8" t="s">
        <v>78</v>
      </c>
      <c r="B11" s="8">
        <v>6</v>
      </c>
      <c r="C11" s="8">
        <v>0</v>
      </c>
      <c r="D11" s="8">
        <v>0</v>
      </c>
      <c r="E11" s="8">
        <v>1</v>
      </c>
      <c r="F11" s="8">
        <v>5</v>
      </c>
      <c r="G11" s="9">
        <f t="shared" si="4"/>
        <v>0</v>
      </c>
      <c r="H11" s="9">
        <f t="shared" si="5"/>
        <v>0</v>
      </c>
      <c r="I11" s="9">
        <f t="shared" si="6"/>
        <v>0.16666666666666666</v>
      </c>
      <c r="J11" s="10">
        <f t="shared" si="7"/>
        <v>0.33333333333333331</v>
      </c>
    </row>
    <row r="12" spans="1:10" x14ac:dyDescent="0.55000000000000004">
      <c r="A12" s="8" t="s">
        <v>79</v>
      </c>
      <c r="B12" s="8">
        <v>3</v>
      </c>
      <c r="C12" s="8">
        <v>0</v>
      </c>
      <c r="D12" s="8">
        <v>0</v>
      </c>
      <c r="E12" s="8">
        <v>0</v>
      </c>
      <c r="F12" s="8">
        <v>3</v>
      </c>
      <c r="G12" s="9">
        <f t="shared" si="4"/>
        <v>0</v>
      </c>
      <c r="H12" s="9">
        <f t="shared" si="5"/>
        <v>0</v>
      </c>
      <c r="I12" s="9">
        <f t="shared" si="6"/>
        <v>0</v>
      </c>
      <c r="J12" s="10">
        <f t="shared" si="7"/>
        <v>0</v>
      </c>
    </row>
    <row r="13" spans="1:10" x14ac:dyDescent="0.55000000000000004">
      <c r="A13" s="8" t="s">
        <v>80</v>
      </c>
      <c r="B13" s="8">
        <v>3</v>
      </c>
      <c r="C13" s="8">
        <v>0</v>
      </c>
      <c r="D13" s="8">
        <v>0</v>
      </c>
      <c r="E13" s="8">
        <v>0</v>
      </c>
      <c r="F13" s="8">
        <v>3</v>
      </c>
      <c r="G13" s="9">
        <f t="shared" si="4"/>
        <v>0</v>
      </c>
      <c r="H13" s="9">
        <f t="shared" si="5"/>
        <v>0</v>
      </c>
      <c r="I13" s="9">
        <f t="shared" si="6"/>
        <v>0</v>
      </c>
      <c r="J13" s="10">
        <f t="shared" si="7"/>
        <v>0</v>
      </c>
    </row>
    <row r="14" spans="1:10" x14ac:dyDescent="0.55000000000000004">
      <c r="A14" s="8" t="s">
        <v>81</v>
      </c>
      <c r="B14" s="8">
        <v>2</v>
      </c>
      <c r="C14" s="8">
        <v>1</v>
      </c>
      <c r="D14" s="8">
        <v>0</v>
      </c>
      <c r="E14" s="8">
        <v>0</v>
      </c>
      <c r="F14" s="8">
        <v>1</v>
      </c>
      <c r="G14" s="9">
        <f t="shared" si="4"/>
        <v>0.5</v>
      </c>
      <c r="H14" s="9">
        <f t="shared" si="5"/>
        <v>0.5</v>
      </c>
      <c r="I14" s="9">
        <f t="shared" si="6"/>
        <v>0.5</v>
      </c>
      <c r="J14" s="10">
        <f t="shared" si="7"/>
        <v>2.5</v>
      </c>
    </row>
    <row r="15" spans="1:10" x14ac:dyDescent="0.55000000000000004">
      <c r="A15" s="8" t="s">
        <v>83</v>
      </c>
      <c r="B15" s="8">
        <v>9</v>
      </c>
      <c r="C15" s="8">
        <v>1</v>
      </c>
      <c r="D15" s="8">
        <v>0</v>
      </c>
      <c r="E15" s="8">
        <v>1</v>
      </c>
      <c r="F15" s="8">
        <v>7</v>
      </c>
      <c r="G15" s="9">
        <f t="shared" si="4"/>
        <v>0.1111111111111111</v>
      </c>
      <c r="H15" s="9">
        <f t="shared" si="5"/>
        <v>0.1111111111111111</v>
      </c>
      <c r="I15" s="9">
        <f t="shared" si="6"/>
        <v>0.22222222222222221</v>
      </c>
      <c r="J15" s="10">
        <f t="shared" si="7"/>
        <v>0.77777777777777779</v>
      </c>
    </row>
    <row r="16" spans="1:10" x14ac:dyDescent="0.55000000000000004">
      <c r="A16" s="8" t="s">
        <v>82</v>
      </c>
      <c r="B16" s="8">
        <v>8</v>
      </c>
      <c r="C16" s="8">
        <v>0</v>
      </c>
      <c r="D16" s="8">
        <v>1</v>
      </c>
      <c r="E16" s="8">
        <v>0</v>
      </c>
      <c r="F16" s="8">
        <v>7</v>
      </c>
      <c r="G16" s="9">
        <f t="shared" si="4"/>
        <v>0</v>
      </c>
      <c r="H16" s="9">
        <f t="shared" si="5"/>
        <v>0.125</v>
      </c>
      <c r="I16" s="9">
        <f t="shared" si="6"/>
        <v>0.125</v>
      </c>
      <c r="J16" s="10">
        <f t="shared" si="7"/>
        <v>0.375</v>
      </c>
    </row>
    <row r="17" spans="1:10" x14ac:dyDescent="0.55000000000000004">
      <c r="A17" s="8" t="s">
        <v>84</v>
      </c>
      <c r="B17" s="8">
        <v>1</v>
      </c>
      <c r="C17" s="8">
        <v>0</v>
      </c>
      <c r="D17" s="8">
        <v>1</v>
      </c>
      <c r="E17" s="8">
        <v>0</v>
      </c>
      <c r="F17" s="8">
        <v>0</v>
      </c>
      <c r="G17" s="9">
        <f t="shared" ref="G17:G18" si="8">C17/B17</f>
        <v>0</v>
      </c>
      <c r="H17" s="9">
        <f t="shared" ref="H17:H18" si="9">(C17+D17)/B17</f>
        <v>1</v>
      </c>
      <c r="I17" s="9">
        <f t="shared" ref="I17:I18" si="10">(C17+D17+E17)/B17</f>
        <v>1</v>
      </c>
      <c r="J17" s="10">
        <f t="shared" ref="J17:J18" si="11">(C17*5+D17*3+E17*2)/B17</f>
        <v>3</v>
      </c>
    </row>
    <row r="18" spans="1:10" x14ac:dyDescent="0.55000000000000004">
      <c r="A18" s="8" t="s">
        <v>86</v>
      </c>
      <c r="B18" s="8">
        <v>1</v>
      </c>
      <c r="C18" s="8">
        <v>0</v>
      </c>
      <c r="D18" s="8">
        <v>0</v>
      </c>
      <c r="E18" s="8">
        <v>0</v>
      </c>
      <c r="F18" s="8">
        <v>1</v>
      </c>
      <c r="G18" s="9">
        <f t="shared" si="8"/>
        <v>0</v>
      </c>
      <c r="H18" s="9">
        <f t="shared" si="9"/>
        <v>0</v>
      </c>
      <c r="I18" s="9">
        <f t="shared" si="10"/>
        <v>0</v>
      </c>
      <c r="J18" s="10">
        <f t="shared" si="11"/>
        <v>0</v>
      </c>
    </row>
    <row r="19" spans="1:10" x14ac:dyDescent="0.55000000000000004">
      <c r="A19" s="8" t="s">
        <v>87</v>
      </c>
      <c r="B19" s="8">
        <v>0</v>
      </c>
      <c r="C19" s="8">
        <v>0</v>
      </c>
      <c r="D19" s="8">
        <v>0</v>
      </c>
      <c r="E19" s="8">
        <v>0</v>
      </c>
      <c r="F19" s="8">
        <v>0</v>
      </c>
      <c r="G19" s="9" t="e">
        <f t="shared" ref="G19:G20" si="12">C19/B19</f>
        <v>#DIV/0!</v>
      </c>
      <c r="H19" s="9" t="e">
        <f t="shared" ref="H19:H20" si="13">(C19+D19)/B19</f>
        <v>#DIV/0!</v>
      </c>
      <c r="I19" s="9" t="e">
        <f t="shared" ref="I19:I20" si="14">(C19+D19+E19)/B19</f>
        <v>#DIV/0!</v>
      </c>
      <c r="J19" s="10" t="e">
        <f t="shared" ref="J19:J20" si="15">(C19*5+D19*3+E19*2)/B19</f>
        <v>#DIV/0!</v>
      </c>
    </row>
    <row r="20" spans="1:10" x14ac:dyDescent="0.55000000000000004">
      <c r="A20" s="8" t="s">
        <v>88</v>
      </c>
      <c r="B20" s="8">
        <v>0</v>
      </c>
      <c r="C20" s="8">
        <v>0</v>
      </c>
      <c r="D20" s="8">
        <v>0</v>
      </c>
      <c r="E20" s="8">
        <v>0</v>
      </c>
      <c r="F20" s="8">
        <v>0</v>
      </c>
      <c r="G20" s="9" t="e">
        <f t="shared" si="12"/>
        <v>#DIV/0!</v>
      </c>
      <c r="H20" s="9" t="e">
        <f t="shared" si="13"/>
        <v>#DIV/0!</v>
      </c>
      <c r="I20" s="9" t="e">
        <f t="shared" si="14"/>
        <v>#DIV/0!</v>
      </c>
      <c r="J20" s="10" t="e">
        <f t="shared" si="15"/>
        <v>#DIV/0!</v>
      </c>
    </row>
    <row r="21" spans="1:10" x14ac:dyDescent="0.55000000000000004">
      <c r="A21" s="8" t="s">
        <v>89</v>
      </c>
      <c r="B21" s="8">
        <v>0</v>
      </c>
      <c r="C21" s="8">
        <v>0</v>
      </c>
      <c r="D21" s="8">
        <v>0</v>
      </c>
      <c r="E21" s="8">
        <v>0</v>
      </c>
      <c r="F21" s="8">
        <v>0</v>
      </c>
      <c r="G21" s="9" t="e">
        <f t="shared" ref="G21" si="16">C21/B21</f>
        <v>#DIV/0!</v>
      </c>
      <c r="H21" s="9" t="e">
        <f t="shared" ref="H21" si="17">(C21+D21)/B21</f>
        <v>#DIV/0!</v>
      </c>
      <c r="I21" s="9" t="e">
        <f t="shared" ref="I21" si="18">(C21+D21+E21)/B21</f>
        <v>#DIV/0!</v>
      </c>
      <c r="J21" s="10" t="e">
        <f t="shared" ref="J21" si="19">(C21*5+D21*3+E21*2)/B21</f>
        <v>#DIV/0!</v>
      </c>
    </row>
  </sheetData>
  <phoneticPr fontId="3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CAEB4-97DD-4A01-8A96-0BD7DEFE6BC4}">
  <dimension ref="A1:J18"/>
  <sheetViews>
    <sheetView showGridLines="0" workbookViewId="0">
      <selection activeCell="E24" sqref="E24"/>
    </sheetView>
  </sheetViews>
  <sheetFormatPr defaultRowHeight="18" x14ac:dyDescent="0.55000000000000004"/>
  <cols>
    <col min="1" max="1" width="26.08203125" customWidth="1"/>
    <col min="7" max="9" width="8.6640625" style="2"/>
    <col min="10" max="10" width="15.4140625" style="3" customWidth="1"/>
  </cols>
  <sheetData>
    <row r="1" spans="1:10" s="4" customFormat="1" x14ac:dyDescent="0.55000000000000004">
      <c r="A1" s="5" t="s">
        <v>35</v>
      </c>
      <c r="B1" s="5" t="s">
        <v>11</v>
      </c>
      <c r="C1" s="5" t="s">
        <v>16</v>
      </c>
      <c r="D1" s="5" t="s">
        <v>17</v>
      </c>
      <c r="E1" s="5" t="s">
        <v>18</v>
      </c>
      <c r="F1" s="5" t="s">
        <v>19</v>
      </c>
      <c r="G1" s="11" t="s">
        <v>12</v>
      </c>
      <c r="H1" s="11" t="s">
        <v>13</v>
      </c>
      <c r="I1" s="11" t="s">
        <v>14</v>
      </c>
      <c r="J1" s="7" t="s">
        <v>29</v>
      </c>
    </row>
    <row r="2" spans="1:10" x14ac:dyDescent="0.55000000000000004">
      <c r="A2" s="8" t="s">
        <v>36</v>
      </c>
      <c r="B2" s="8">
        <f>SUM(C2:F2)</f>
        <v>14</v>
      </c>
      <c r="C2" s="8">
        <v>2</v>
      </c>
      <c r="D2" s="8">
        <v>0</v>
      </c>
      <c r="E2" s="8">
        <v>2</v>
      </c>
      <c r="F2" s="8">
        <v>10</v>
      </c>
      <c r="G2" s="9">
        <f>C2/B2</f>
        <v>0.14285714285714285</v>
      </c>
      <c r="H2" s="9">
        <f>(C2+D2)/B2</f>
        <v>0.14285714285714285</v>
      </c>
      <c r="I2" s="9">
        <f>(C2+D2+E2)/B2</f>
        <v>0.2857142857142857</v>
      </c>
      <c r="J2" s="10">
        <f>(C2*5+D2*3+E2*2)/B2</f>
        <v>1</v>
      </c>
    </row>
    <row r="3" spans="1:10" x14ac:dyDescent="0.55000000000000004">
      <c r="A3" s="8" t="s">
        <v>37</v>
      </c>
      <c r="B3" s="8">
        <f t="shared" ref="B3:B18" si="0">SUM(C3:F3)</f>
        <v>28</v>
      </c>
      <c r="C3" s="8">
        <v>1</v>
      </c>
      <c r="D3" s="8">
        <v>2</v>
      </c>
      <c r="E3" s="8">
        <v>2</v>
      </c>
      <c r="F3" s="8">
        <v>23</v>
      </c>
      <c r="G3" s="9">
        <f t="shared" ref="G3:G18" si="1">C3/B3</f>
        <v>3.5714285714285712E-2</v>
      </c>
      <c r="H3" s="9">
        <f t="shared" ref="H3:H18" si="2">(C3+D3)/B3</f>
        <v>0.10714285714285714</v>
      </c>
      <c r="I3" s="9">
        <f t="shared" ref="I3:I18" si="3">(C3+D3+E3)/B3</f>
        <v>0.17857142857142858</v>
      </c>
      <c r="J3" s="10">
        <f t="shared" ref="J3:J18" si="4">(C3*5+D3*3+E3*2)/B3</f>
        <v>0.5357142857142857</v>
      </c>
    </row>
    <row r="4" spans="1:10" x14ac:dyDescent="0.55000000000000004">
      <c r="A4" s="8" t="s">
        <v>38</v>
      </c>
      <c r="B4" s="8">
        <f t="shared" si="0"/>
        <v>4</v>
      </c>
      <c r="C4" s="8">
        <v>1</v>
      </c>
      <c r="D4" s="8">
        <v>1</v>
      </c>
      <c r="E4" s="8">
        <v>1</v>
      </c>
      <c r="F4" s="8">
        <v>1</v>
      </c>
      <c r="G4" s="9">
        <f t="shared" si="1"/>
        <v>0.25</v>
      </c>
      <c r="H4" s="9">
        <f t="shared" si="2"/>
        <v>0.5</v>
      </c>
      <c r="I4" s="9">
        <f t="shared" si="3"/>
        <v>0.75</v>
      </c>
      <c r="J4" s="10">
        <f>(C4*5+D4*3+E4*2)/B4/2</f>
        <v>1.25</v>
      </c>
    </row>
    <row r="5" spans="1:10" x14ac:dyDescent="0.55000000000000004">
      <c r="A5" s="8" t="s">
        <v>39</v>
      </c>
      <c r="B5" s="8">
        <f t="shared" si="0"/>
        <v>3</v>
      </c>
      <c r="C5" s="8">
        <v>1</v>
      </c>
      <c r="D5" s="8">
        <v>1</v>
      </c>
      <c r="E5" s="8">
        <v>1</v>
      </c>
      <c r="F5" s="8">
        <v>0</v>
      </c>
      <c r="G5" s="9">
        <f t="shared" si="1"/>
        <v>0.33333333333333331</v>
      </c>
      <c r="H5" s="9">
        <f t="shared" si="2"/>
        <v>0.66666666666666663</v>
      </c>
      <c r="I5" s="9">
        <f t="shared" si="3"/>
        <v>1</v>
      </c>
      <c r="J5" s="10">
        <f t="shared" ref="J5:J11" si="5">(C5*5+D5*3+E5*2)/B5/2</f>
        <v>1.6666666666666667</v>
      </c>
    </row>
    <row r="6" spans="1:10" x14ac:dyDescent="0.55000000000000004">
      <c r="A6" s="8" t="s">
        <v>40</v>
      </c>
      <c r="B6" s="8">
        <f t="shared" si="0"/>
        <v>7</v>
      </c>
      <c r="C6" s="8">
        <v>1</v>
      </c>
      <c r="D6" s="8">
        <v>0</v>
      </c>
      <c r="E6" s="8">
        <v>1</v>
      </c>
      <c r="F6" s="8">
        <v>5</v>
      </c>
      <c r="G6" s="9">
        <f t="shared" si="1"/>
        <v>0.14285714285714285</v>
      </c>
      <c r="H6" s="9">
        <f t="shared" si="2"/>
        <v>0.14285714285714285</v>
      </c>
      <c r="I6" s="9">
        <f t="shared" si="3"/>
        <v>0.2857142857142857</v>
      </c>
      <c r="J6" s="10">
        <f t="shared" si="5"/>
        <v>0.5</v>
      </c>
    </row>
    <row r="7" spans="1:10" x14ac:dyDescent="0.55000000000000004">
      <c r="A7" s="8" t="s">
        <v>41</v>
      </c>
      <c r="B7" s="8">
        <f t="shared" si="0"/>
        <v>3</v>
      </c>
      <c r="C7" s="8">
        <v>1</v>
      </c>
      <c r="D7" s="8">
        <v>0</v>
      </c>
      <c r="E7" s="8">
        <v>1</v>
      </c>
      <c r="F7" s="8">
        <v>1</v>
      </c>
      <c r="G7" s="9">
        <f t="shared" si="1"/>
        <v>0.33333333333333331</v>
      </c>
      <c r="H7" s="9">
        <f t="shared" si="2"/>
        <v>0.33333333333333331</v>
      </c>
      <c r="I7" s="9">
        <f t="shared" si="3"/>
        <v>0.66666666666666663</v>
      </c>
      <c r="J7" s="10">
        <f t="shared" si="5"/>
        <v>1.1666666666666667</v>
      </c>
    </row>
    <row r="8" spans="1:10" x14ac:dyDescent="0.55000000000000004">
      <c r="A8" s="8" t="s">
        <v>42</v>
      </c>
      <c r="B8" s="8">
        <f t="shared" si="0"/>
        <v>6</v>
      </c>
      <c r="C8" s="8">
        <v>1</v>
      </c>
      <c r="D8" s="8">
        <v>0</v>
      </c>
      <c r="E8" s="8">
        <v>0</v>
      </c>
      <c r="F8" s="8">
        <v>5</v>
      </c>
      <c r="G8" s="9">
        <f t="shared" si="1"/>
        <v>0.16666666666666666</v>
      </c>
      <c r="H8" s="9">
        <f t="shared" si="2"/>
        <v>0.16666666666666666</v>
      </c>
      <c r="I8" s="9">
        <f t="shared" si="3"/>
        <v>0.16666666666666666</v>
      </c>
      <c r="J8" s="10">
        <f t="shared" si="5"/>
        <v>0.41666666666666669</v>
      </c>
    </row>
    <row r="9" spans="1:10" x14ac:dyDescent="0.55000000000000004">
      <c r="A9" s="8" t="s">
        <v>43</v>
      </c>
      <c r="B9" s="8">
        <f t="shared" si="0"/>
        <v>2</v>
      </c>
      <c r="C9" s="8">
        <v>1</v>
      </c>
      <c r="D9" s="8">
        <v>0</v>
      </c>
      <c r="E9" s="8">
        <v>0</v>
      </c>
      <c r="F9" s="8">
        <v>1</v>
      </c>
      <c r="G9" s="9">
        <f t="shared" si="1"/>
        <v>0.5</v>
      </c>
      <c r="H9" s="9">
        <f t="shared" si="2"/>
        <v>0.5</v>
      </c>
      <c r="I9" s="9">
        <f t="shared" si="3"/>
        <v>0.5</v>
      </c>
      <c r="J9" s="10">
        <f t="shared" si="5"/>
        <v>1.25</v>
      </c>
    </row>
    <row r="10" spans="1:10" x14ac:dyDescent="0.55000000000000004">
      <c r="A10" s="8" t="s">
        <v>44</v>
      </c>
      <c r="B10" s="8">
        <f t="shared" si="0"/>
        <v>2</v>
      </c>
      <c r="C10" s="8">
        <v>1</v>
      </c>
      <c r="D10" s="8">
        <v>0</v>
      </c>
      <c r="E10" s="8">
        <v>0</v>
      </c>
      <c r="F10" s="8">
        <v>1</v>
      </c>
      <c r="G10" s="9">
        <f t="shared" si="1"/>
        <v>0.5</v>
      </c>
      <c r="H10" s="9">
        <f t="shared" si="2"/>
        <v>0.5</v>
      </c>
      <c r="I10" s="9">
        <f t="shared" si="3"/>
        <v>0.5</v>
      </c>
      <c r="J10" s="10">
        <f t="shared" si="5"/>
        <v>1.25</v>
      </c>
    </row>
    <row r="11" spans="1:10" x14ac:dyDescent="0.55000000000000004">
      <c r="A11" s="8" t="s">
        <v>45</v>
      </c>
      <c r="B11" s="8">
        <f t="shared" si="0"/>
        <v>5</v>
      </c>
      <c r="C11" s="8">
        <v>0</v>
      </c>
      <c r="D11" s="8">
        <v>1</v>
      </c>
      <c r="E11" s="8">
        <v>1</v>
      </c>
      <c r="F11" s="8">
        <v>3</v>
      </c>
      <c r="G11" s="9">
        <f t="shared" si="1"/>
        <v>0</v>
      </c>
      <c r="H11" s="9">
        <f t="shared" si="2"/>
        <v>0.2</v>
      </c>
      <c r="I11" s="9">
        <f t="shared" si="3"/>
        <v>0.4</v>
      </c>
      <c r="J11" s="10">
        <f t="shared" si="5"/>
        <v>0.5</v>
      </c>
    </row>
    <row r="12" spans="1:10" x14ac:dyDescent="0.55000000000000004">
      <c r="A12" s="8" t="s">
        <v>46</v>
      </c>
      <c r="B12" s="8">
        <f t="shared" si="0"/>
        <v>18</v>
      </c>
      <c r="C12" s="8">
        <v>0</v>
      </c>
      <c r="D12" s="8">
        <v>1</v>
      </c>
      <c r="E12" s="8">
        <v>0</v>
      </c>
      <c r="F12" s="8">
        <v>17</v>
      </c>
      <c r="G12" s="9">
        <f t="shared" si="1"/>
        <v>0</v>
      </c>
      <c r="H12" s="9">
        <f t="shared" si="2"/>
        <v>5.5555555555555552E-2</v>
      </c>
      <c r="I12" s="9">
        <f t="shared" si="3"/>
        <v>5.5555555555555552E-2</v>
      </c>
      <c r="J12" s="10">
        <f t="shared" si="4"/>
        <v>0.16666666666666666</v>
      </c>
    </row>
    <row r="13" spans="1:10" x14ac:dyDescent="0.55000000000000004">
      <c r="A13" s="8" t="s">
        <v>47</v>
      </c>
      <c r="B13" s="8">
        <f t="shared" si="0"/>
        <v>5</v>
      </c>
      <c r="C13" s="8">
        <v>0</v>
      </c>
      <c r="D13" s="8">
        <v>1</v>
      </c>
      <c r="E13" s="8">
        <v>0</v>
      </c>
      <c r="F13" s="8">
        <v>4</v>
      </c>
      <c r="G13" s="9">
        <f t="shared" si="1"/>
        <v>0</v>
      </c>
      <c r="H13" s="9">
        <f t="shared" si="2"/>
        <v>0.2</v>
      </c>
      <c r="I13" s="9">
        <f t="shared" si="3"/>
        <v>0.2</v>
      </c>
      <c r="J13" s="10">
        <f>(C13*5+D13*3+E13*2)/B13/2</f>
        <v>0.3</v>
      </c>
    </row>
    <row r="14" spans="1:10" x14ac:dyDescent="0.55000000000000004">
      <c r="A14" s="8" t="s">
        <v>48</v>
      </c>
      <c r="B14" s="8">
        <f t="shared" si="0"/>
        <v>4</v>
      </c>
      <c r="C14" s="8">
        <v>0</v>
      </c>
      <c r="D14" s="8">
        <v>1</v>
      </c>
      <c r="E14" s="8">
        <v>0</v>
      </c>
      <c r="F14" s="8">
        <v>3</v>
      </c>
      <c r="G14" s="9">
        <f t="shared" si="1"/>
        <v>0</v>
      </c>
      <c r="H14" s="9">
        <f t="shared" si="2"/>
        <v>0.25</v>
      </c>
      <c r="I14" s="9">
        <f t="shared" si="3"/>
        <v>0.25</v>
      </c>
      <c r="J14" s="10">
        <f t="shared" ref="J14:J17" si="6">(C14*5+D14*3+E14*2)/B14/2</f>
        <v>0.375</v>
      </c>
    </row>
    <row r="15" spans="1:10" x14ac:dyDescent="0.55000000000000004">
      <c r="A15" s="8" t="s">
        <v>49</v>
      </c>
      <c r="B15" s="8">
        <f t="shared" si="0"/>
        <v>6</v>
      </c>
      <c r="C15" s="8">
        <v>0</v>
      </c>
      <c r="D15" s="8">
        <v>1</v>
      </c>
      <c r="E15" s="8">
        <v>0</v>
      </c>
      <c r="F15" s="8">
        <v>5</v>
      </c>
      <c r="G15" s="9">
        <f t="shared" si="1"/>
        <v>0</v>
      </c>
      <c r="H15" s="9">
        <f t="shared" si="2"/>
        <v>0.16666666666666666</v>
      </c>
      <c r="I15" s="9">
        <f t="shared" si="3"/>
        <v>0.16666666666666666</v>
      </c>
      <c r="J15" s="10">
        <f t="shared" si="6"/>
        <v>0.25</v>
      </c>
    </row>
    <row r="16" spans="1:10" x14ac:dyDescent="0.55000000000000004">
      <c r="A16" s="8" t="s">
        <v>50</v>
      </c>
      <c r="B16" s="8">
        <f t="shared" si="0"/>
        <v>4</v>
      </c>
      <c r="C16" s="8">
        <v>0</v>
      </c>
      <c r="D16" s="8">
        <v>1</v>
      </c>
      <c r="E16" s="8">
        <v>0</v>
      </c>
      <c r="F16" s="8">
        <v>3</v>
      </c>
      <c r="G16" s="9">
        <f t="shared" si="1"/>
        <v>0</v>
      </c>
      <c r="H16" s="9">
        <f t="shared" si="2"/>
        <v>0.25</v>
      </c>
      <c r="I16" s="9">
        <f t="shared" si="3"/>
        <v>0.25</v>
      </c>
      <c r="J16" s="10">
        <f t="shared" si="6"/>
        <v>0.375</v>
      </c>
    </row>
    <row r="17" spans="1:10" x14ac:dyDescent="0.55000000000000004">
      <c r="A17" s="8" t="s">
        <v>51</v>
      </c>
      <c r="B17" s="8">
        <f t="shared" si="0"/>
        <v>1</v>
      </c>
      <c r="C17" s="8">
        <v>0</v>
      </c>
      <c r="D17" s="8">
        <v>0</v>
      </c>
      <c r="E17" s="8">
        <v>1</v>
      </c>
      <c r="F17" s="8">
        <v>0</v>
      </c>
      <c r="G17" s="9">
        <f t="shared" si="1"/>
        <v>0</v>
      </c>
      <c r="H17" s="9">
        <f t="shared" si="2"/>
        <v>0</v>
      </c>
      <c r="I17" s="9">
        <f t="shared" si="3"/>
        <v>1</v>
      </c>
      <c r="J17" s="10">
        <f t="shared" si="6"/>
        <v>1</v>
      </c>
    </row>
    <row r="18" spans="1:10" x14ac:dyDescent="0.55000000000000004">
      <c r="A18" s="8" t="s">
        <v>52</v>
      </c>
      <c r="B18" s="8">
        <f t="shared" si="0"/>
        <v>47</v>
      </c>
      <c r="C18" s="8">
        <v>0</v>
      </c>
      <c r="D18" s="8">
        <v>0</v>
      </c>
      <c r="E18" s="8">
        <v>0</v>
      </c>
      <c r="F18" s="8">
        <v>47</v>
      </c>
      <c r="G18" s="9">
        <f t="shared" si="1"/>
        <v>0</v>
      </c>
      <c r="H18" s="9">
        <f t="shared" si="2"/>
        <v>0</v>
      </c>
      <c r="I18" s="9">
        <f t="shared" si="3"/>
        <v>0</v>
      </c>
      <c r="J18" s="10">
        <f t="shared" si="4"/>
        <v>0</v>
      </c>
    </row>
  </sheetData>
  <phoneticPr fontId="3"/>
  <pageMargins left="0.7" right="0.7" top="0.75" bottom="0.75" header="0.3" footer="0.3"/>
  <ignoredErrors>
    <ignoredError sqref="J4 J12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435B5-E6D2-402E-89A4-B303B5808CC9}">
  <dimension ref="A1:J6"/>
  <sheetViews>
    <sheetView showGridLines="0" workbookViewId="0">
      <selection activeCell="F6" sqref="F6"/>
    </sheetView>
  </sheetViews>
  <sheetFormatPr defaultRowHeight="18" x14ac:dyDescent="0.55000000000000004"/>
  <cols>
    <col min="7" max="9" width="8.6640625" style="2"/>
    <col min="10" max="10" width="15.4140625" style="3" customWidth="1"/>
  </cols>
  <sheetData>
    <row r="1" spans="1:10" s="4" customFormat="1" x14ac:dyDescent="0.55000000000000004">
      <c r="A1" s="5" t="s">
        <v>54</v>
      </c>
      <c r="B1" s="5" t="s">
        <v>11</v>
      </c>
      <c r="C1" s="5" t="s">
        <v>16</v>
      </c>
      <c r="D1" s="5" t="s">
        <v>17</v>
      </c>
      <c r="E1" s="5" t="s">
        <v>18</v>
      </c>
      <c r="F1" s="5" t="s">
        <v>19</v>
      </c>
      <c r="G1" s="11" t="s">
        <v>12</v>
      </c>
      <c r="H1" s="11" t="s">
        <v>13</v>
      </c>
      <c r="I1" s="11" t="s">
        <v>14</v>
      </c>
      <c r="J1" s="7" t="s">
        <v>29</v>
      </c>
    </row>
    <row r="2" spans="1:10" x14ac:dyDescent="0.55000000000000004">
      <c r="A2" s="8" t="s">
        <v>55</v>
      </c>
      <c r="B2" s="8">
        <f>SUM(C2:F2)</f>
        <v>6</v>
      </c>
      <c r="C2" s="8">
        <v>0</v>
      </c>
      <c r="D2" s="8">
        <v>0</v>
      </c>
      <c r="E2" s="8">
        <v>0</v>
      </c>
      <c r="F2" s="8">
        <v>6</v>
      </c>
      <c r="G2" s="9">
        <f>C2/B2</f>
        <v>0</v>
      </c>
      <c r="H2" s="9">
        <f>(C2+D2)/B2</f>
        <v>0</v>
      </c>
      <c r="I2" s="9">
        <f>(C2+D2+E2)/B2</f>
        <v>0</v>
      </c>
      <c r="J2" s="10">
        <f>(C2*5+D2*3+E2*2)/B2</f>
        <v>0</v>
      </c>
    </row>
    <row r="3" spans="1:10" x14ac:dyDescent="0.55000000000000004">
      <c r="A3" s="8" t="s">
        <v>56</v>
      </c>
      <c r="B3" s="8">
        <f t="shared" ref="B3:B6" si="0">SUM(C3:F3)</f>
        <v>23</v>
      </c>
      <c r="C3" s="8">
        <v>1</v>
      </c>
      <c r="D3" s="8">
        <v>0</v>
      </c>
      <c r="E3" s="8">
        <v>0</v>
      </c>
      <c r="F3" s="8">
        <v>22</v>
      </c>
      <c r="G3" s="9">
        <f t="shared" ref="G3:G6" si="1">C3/B3</f>
        <v>4.3478260869565216E-2</v>
      </c>
      <c r="H3" s="9">
        <f t="shared" ref="H3:H6" si="2">(C3+D3)/B3</f>
        <v>4.3478260869565216E-2</v>
      </c>
      <c r="I3" s="9">
        <f t="shared" ref="I3:I6" si="3">(C3+D3+E3)/B3</f>
        <v>4.3478260869565216E-2</v>
      </c>
      <c r="J3" s="10">
        <f t="shared" ref="J3:J6" si="4">(C3*5+D3*3+E3*2)/B3</f>
        <v>0.21739130434782608</v>
      </c>
    </row>
    <row r="4" spans="1:10" x14ac:dyDescent="0.55000000000000004">
      <c r="A4" s="8" t="s">
        <v>57</v>
      </c>
      <c r="B4" s="8">
        <f t="shared" si="0"/>
        <v>113</v>
      </c>
      <c r="C4" s="8">
        <v>8</v>
      </c>
      <c r="D4" s="8">
        <v>8</v>
      </c>
      <c r="E4" s="8">
        <v>9</v>
      </c>
      <c r="F4" s="8">
        <v>88</v>
      </c>
      <c r="G4" s="9">
        <f t="shared" si="1"/>
        <v>7.0796460176991149E-2</v>
      </c>
      <c r="H4" s="9">
        <f t="shared" si="2"/>
        <v>0.1415929203539823</v>
      </c>
      <c r="I4" s="9">
        <f t="shared" si="3"/>
        <v>0.22123893805309736</v>
      </c>
      <c r="J4" s="10">
        <f t="shared" si="4"/>
        <v>0.72566371681415931</v>
      </c>
    </row>
    <row r="5" spans="1:10" x14ac:dyDescent="0.55000000000000004">
      <c r="A5" s="8" t="s">
        <v>58</v>
      </c>
      <c r="B5" s="8">
        <f t="shared" si="0"/>
        <v>14</v>
      </c>
      <c r="C5" s="8">
        <v>1</v>
      </c>
      <c r="D5" s="8">
        <v>2</v>
      </c>
      <c r="E5" s="8">
        <v>1</v>
      </c>
      <c r="F5" s="8">
        <v>10</v>
      </c>
      <c r="G5" s="9">
        <f t="shared" si="1"/>
        <v>7.1428571428571425E-2</v>
      </c>
      <c r="H5" s="9">
        <f t="shared" si="2"/>
        <v>0.21428571428571427</v>
      </c>
      <c r="I5" s="9">
        <f t="shared" si="3"/>
        <v>0.2857142857142857</v>
      </c>
      <c r="J5" s="10">
        <f t="shared" si="4"/>
        <v>0.9285714285714286</v>
      </c>
    </row>
    <row r="6" spans="1:10" x14ac:dyDescent="0.55000000000000004">
      <c r="A6" s="8" t="s">
        <v>52</v>
      </c>
      <c r="B6" s="8">
        <f t="shared" si="0"/>
        <v>3</v>
      </c>
      <c r="C6" s="8">
        <v>0</v>
      </c>
      <c r="D6" s="8">
        <v>0</v>
      </c>
      <c r="E6" s="8">
        <v>0</v>
      </c>
      <c r="F6" s="8">
        <v>3</v>
      </c>
      <c r="G6" s="9">
        <f t="shared" si="1"/>
        <v>0</v>
      </c>
      <c r="H6" s="9">
        <f t="shared" si="2"/>
        <v>0</v>
      </c>
      <c r="I6" s="9">
        <f t="shared" si="3"/>
        <v>0</v>
      </c>
      <c r="J6" s="10">
        <f t="shared" si="4"/>
        <v>0</v>
      </c>
    </row>
  </sheetData>
  <phoneticPr fontId="3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C9344-FFC9-4CC6-86B4-6ACD2309F0B4}">
  <dimension ref="A1:J10"/>
  <sheetViews>
    <sheetView showGridLines="0" workbookViewId="0">
      <selection activeCell="J8" sqref="J8"/>
    </sheetView>
  </sheetViews>
  <sheetFormatPr defaultRowHeight="18" x14ac:dyDescent="0.55000000000000004"/>
  <cols>
    <col min="1" max="1" width="21.1640625" customWidth="1"/>
    <col min="7" max="9" width="8.6640625" style="2"/>
    <col min="10" max="10" width="15.4140625" style="3" customWidth="1"/>
  </cols>
  <sheetData>
    <row r="1" spans="1:10" s="4" customFormat="1" x14ac:dyDescent="0.55000000000000004">
      <c r="A1" s="5" t="s">
        <v>54</v>
      </c>
      <c r="B1" s="5" t="s">
        <v>11</v>
      </c>
      <c r="C1" s="5" t="s">
        <v>16</v>
      </c>
      <c r="D1" s="5" t="s">
        <v>17</v>
      </c>
      <c r="E1" s="5" t="s">
        <v>18</v>
      </c>
      <c r="F1" s="5" t="s">
        <v>19</v>
      </c>
      <c r="G1" s="11" t="s">
        <v>12</v>
      </c>
      <c r="H1" s="11" t="s">
        <v>13</v>
      </c>
      <c r="I1" s="11" t="s">
        <v>14</v>
      </c>
      <c r="J1" s="7" t="s">
        <v>29</v>
      </c>
    </row>
    <row r="2" spans="1:10" x14ac:dyDescent="0.55000000000000004">
      <c r="A2" s="8" t="s">
        <v>59</v>
      </c>
      <c r="B2" s="8">
        <f>SUM(C2:F2)</f>
        <v>18</v>
      </c>
      <c r="C2" s="8">
        <v>3</v>
      </c>
      <c r="D2" s="8">
        <v>2</v>
      </c>
      <c r="E2" s="8">
        <v>1</v>
      </c>
      <c r="F2" s="8">
        <v>12</v>
      </c>
      <c r="G2" s="9">
        <f>C2/B2</f>
        <v>0.16666666666666666</v>
      </c>
      <c r="H2" s="9">
        <f>(C2+D2)/B2</f>
        <v>0.27777777777777779</v>
      </c>
      <c r="I2" s="9">
        <f>(C2+D2+E2)/B2</f>
        <v>0.33333333333333331</v>
      </c>
      <c r="J2" s="10">
        <f>(C2*5+D2*3+E2*2)/B2</f>
        <v>1.2777777777777777</v>
      </c>
    </row>
    <row r="3" spans="1:10" x14ac:dyDescent="0.55000000000000004">
      <c r="A3" s="8" t="s">
        <v>60</v>
      </c>
      <c r="B3" s="8">
        <f t="shared" ref="B3:B10" si="0">SUM(C3:F3)</f>
        <v>50</v>
      </c>
      <c r="C3" s="8">
        <v>2</v>
      </c>
      <c r="D3" s="8">
        <v>3</v>
      </c>
      <c r="E3" s="8">
        <v>4</v>
      </c>
      <c r="F3" s="8">
        <v>41</v>
      </c>
      <c r="G3" s="9">
        <f t="shared" ref="G3:G6" si="1">C3/B3</f>
        <v>0.04</v>
      </c>
      <c r="H3" s="9">
        <f t="shared" ref="H3:H6" si="2">(C3+D3)/B3</f>
        <v>0.1</v>
      </c>
      <c r="I3" s="9">
        <f t="shared" ref="I3:I6" si="3">(C3+D3+E3)/B3</f>
        <v>0.18</v>
      </c>
      <c r="J3" s="10">
        <f t="shared" ref="J3:J5" si="4">(C3*5+D3*3+E3*2)/B3</f>
        <v>0.54</v>
      </c>
    </row>
    <row r="4" spans="1:10" x14ac:dyDescent="0.55000000000000004">
      <c r="A4" s="8" t="s">
        <v>61</v>
      </c>
      <c r="B4" s="8">
        <f t="shared" si="0"/>
        <v>16</v>
      </c>
      <c r="C4" s="8">
        <v>2</v>
      </c>
      <c r="D4" s="8">
        <v>1</v>
      </c>
      <c r="E4" s="8">
        <v>3</v>
      </c>
      <c r="F4" s="8">
        <v>10</v>
      </c>
      <c r="G4" s="9">
        <f t="shared" si="1"/>
        <v>0.125</v>
      </c>
      <c r="H4" s="9">
        <f t="shared" si="2"/>
        <v>0.1875</v>
      </c>
      <c r="I4" s="9">
        <f t="shared" si="3"/>
        <v>0.375</v>
      </c>
      <c r="J4" s="10">
        <f t="shared" si="4"/>
        <v>1.1875</v>
      </c>
    </row>
    <row r="5" spans="1:10" x14ac:dyDescent="0.55000000000000004">
      <c r="A5" s="8" t="s">
        <v>62</v>
      </c>
      <c r="B5" s="8">
        <f t="shared" si="0"/>
        <v>25</v>
      </c>
      <c r="C5" s="8">
        <v>1</v>
      </c>
      <c r="D5" s="8">
        <v>2</v>
      </c>
      <c r="E5" s="8">
        <v>1</v>
      </c>
      <c r="F5" s="8">
        <v>21</v>
      </c>
      <c r="G5" s="9">
        <f t="shared" si="1"/>
        <v>0.04</v>
      </c>
      <c r="H5" s="9">
        <f t="shared" si="2"/>
        <v>0.12</v>
      </c>
      <c r="I5" s="9">
        <f t="shared" si="3"/>
        <v>0.16</v>
      </c>
      <c r="J5" s="10">
        <f t="shared" si="4"/>
        <v>0.52</v>
      </c>
    </row>
    <row r="6" spans="1:10" x14ac:dyDescent="0.55000000000000004">
      <c r="A6" s="8" t="s">
        <v>63</v>
      </c>
      <c r="B6" s="8">
        <f t="shared" si="0"/>
        <v>9</v>
      </c>
      <c r="C6" s="8">
        <v>1</v>
      </c>
      <c r="D6" s="8">
        <v>0</v>
      </c>
      <c r="E6" s="8">
        <v>0</v>
      </c>
      <c r="F6" s="8">
        <v>8</v>
      </c>
      <c r="G6" s="9">
        <f t="shared" si="1"/>
        <v>0.1111111111111111</v>
      </c>
      <c r="H6" s="9">
        <f t="shared" si="2"/>
        <v>0.1111111111111111</v>
      </c>
      <c r="I6" s="9">
        <f t="shared" si="3"/>
        <v>0.1111111111111111</v>
      </c>
      <c r="J6" s="10">
        <f>(C6*5+D6*3+E6*2)/B6/2</f>
        <v>0.27777777777777779</v>
      </c>
    </row>
    <row r="7" spans="1:10" x14ac:dyDescent="0.55000000000000004">
      <c r="A7" s="8" t="s">
        <v>64</v>
      </c>
      <c r="B7" s="8">
        <f t="shared" si="0"/>
        <v>2</v>
      </c>
      <c r="C7" s="8">
        <v>1</v>
      </c>
      <c r="D7" s="8">
        <v>0</v>
      </c>
      <c r="E7" s="8">
        <v>0</v>
      </c>
      <c r="F7" s="8">
        <v>1</v>
      </c>
      <c r="G7" s="9">
        <f t="shared" ref="G7:G10" si="5">C7/B7</f>
        <v>0.5</v>
      </c>
      <c r="H7" s="9">
        <f t="shared" ref="H7:H10" si="6">(C7+D7)/B7</f>
        <v>0.5</v>
      </c>
      <c r="I7" s="9">
        <f t="shared" ref="I7:I10" si="7">(C7+D7+E7)/B7</f>
        <v>0.5</v>
      </c>
      <c r="J7" s="10">
        <f t="shared" ref="J7:J9" si="8">(C7*5+D7*3+E7*2)/B7/2</f>
        <v>1.25</v>
      </c>
    </row>
    <row r="8" spans="1:10" x14ac:dyDescent="0.55000000000000004">
      <c r="A8" s="8" t="s">
        <v>65</v>
      </c>
      <c r="B8" s="8">
        <f t="shared" si="0"/>
        <v>8</v>
      </c>
      <c r="C8" s="8">
        <v>0</v>
      </c>
      <c r="D8" s="8">
        <v>1</v>
      </c>
      <c r="E8" s="8">
        <v>1</v>
      </c>
      <c r="F8" s="8">
        <v>6</v>
      </c>
      <c r="G8" s="9">
        <f t="shared" si="5"/>
        <v>0</v>
      </c>
      <c r="H8" s="9">
        <f t="shared" si="6"/>
        <v>0.125</v>
      </c>
      <c r="I8" s="9">
        <f t="shared" si="7"/>
        <v>0.25</v>
      </c>
      <c r="J8" s="10">
        <f t="shared" si="8"/>
        <v>0.3125</v>
      </c>
    </row>
    <row r="9" spans="1:10" x14ac:dyDescent="0.55000000000000004">
      <c r="A9" s="8" t="s">
        <v>66</v>
      </c>
      <c r="B9" s="8">
        <f t="shared" si="0"/>
        <v>3</v>
      </c>
      <c r="C9" s="8">
        <v>0</v>
      </c>
      <c r="D9" s="8">
        <v>1</v>
      </c>
      <c r="E9" s="8">
        <v>0</v>
      </c>
      <c r="F9" s="8">
        <v>2</v>
      </c>
      <c r="G9" s="9">
        <f t="shared" si="5"/>
        <v>0</v>
      </c>
      <c r="H9" s="9">
        <f t="shared" si="6"/>
        <v>0.33333333333333331</v>
      </c>
      <c r="I9" s="9">
        <f t="shared" si="7"/>
        <v>0.33333333333333331</v>
      </c>
      <c r="J9" s="10">
        <f t="shared" si="8"/>
        <v>0.5</v>
      </c>
    </row>
    <row r="10" spans="1:10" x14ac:dyDescent="0.55000000000000004">
      <c r="A10" s="8" t="s">
        <v>52</v>
      </c>
      <c r="B10" s="8">
        <f t="shared" si="0"/>
        <v>28</v>
      </c>
      <c r="C10" s="8">
        <v>0</v>
      </c>
      <c r="D10" s="8">
        <v>0</v>
      </c>
      <c r="E10" s="8">
        <v>0</v>
      </c>
      <c r="F10" s="8">
        <v>28</v>
      </c>
      <c r="G10" s="9">
        <f t="shared" si="5"/>
        <v>0</v>
      </c>
      <c r="H10" s="9">
        <f t="shared" si="6"/>
        <v>0</v>
      </c>
      <c r="I10" s="9">
        <f t="shared" si="7"/>
        <v>0</v>
      </c>
      <c r="J10" s="10">
        <f t="shared" ref="J10" si="9">(C10*5+D10*3+E10*2)/B10</f>
        <v>0</v>
      </c>
    </row>
  </sheetData>
  <phoneticPr fontId="3"/>
  <pageMargins left="0.7" right="0.7" top="0.75" bottom="0.75" header="0.3" footer="0.3"/>
  <ignoredErrors>
    <ignoredError sqref="J6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6865D-DB42-4975-B0CA-46424E1510BC}">
  <dimension ref="A1:J6"/>
  <sheetViews>
    <sheetView showGridLines="0" workbookViewId="0">
      <selection activeCell="F3" sqref="F3"/>
    </sheetView>
  </sheetViews>
  <sheetFormatPr defaultRowHeight="18" x14ac:dyDescent="0.55000000000000004"/>
  <cols>
    <col min="1" max="1" width="21.1640625" customWidth="1"/>
    <col min="7" max="9" width="8.6640625" style="2"/>
    <col min="10" max="10" width="15.4140625" style="3" customWidth="1"/>
  </cols>
  <sheetData>
    <row r="1" spans="1:10" s="4" customFormat="1" x14ac:dyDescent="0.55000000000000004">
      <c r="A1" s="5" t="s">
        <v>90</v>
      </c>
      <c r="B1" s="5" t="s">
        <v>11</v>
      </c>
      <c r="C1" s="5" t="s">
        <v>16</v>
      </c>
      <c r="D1" s="5" t="s">
        <v>17</v>
      </c>
      <c r="E1" s="5" t="s">
        <v>18</v>
      </c>
      <c r="F1" s="5" t="s">
        <v>19</v>
      </c>
      <c r="G1" s="11" t="s">
        <v>12</v>
      </c>
      <c r="H1" s="11" t="s">
        <v>13</v>
      </c>
      <c r="I1" s="11" t="s">
        <v>14</v>
      </c>
      <c r="J1" s="7" t="s">
        <v>29</v>
      </c>
    </row>
    <row r="2" spans="1:10" x14ac:dyDescent="0.55000000000000004">
      <c r="A2" s="12" t="s">
        <v>91</v>
      </c>
      <c r="B2" s="8">
        <f>SUM(C2:F2)</f>
        <v>14</v>
      </c>
      <c r="C2" s="8">
        <v>1</v>
      </c>
      <c r="D2" s="8">
        <v>1</v>
      </c>
      <c r="E2" s="8">
        <v>0</v>
      </c>
      <c r="F2" s="8">
        <v>12</v>
      </c>
      <c r="G2" s="9">
        <f>C2/B2</f>
        <v>7.1428571428571425E-2</v>
      </c>
      <c r="H2" s="9">
        <f>(C2+D2)/B2</f>
        <v>0.14285714285714285</v>
      </c>
      <c r="I2" s="9">
        <f>(C2+D2+E2)/B2</f>
        <v>0.14285714285714285</v>
      </c>
      <c r="J2" s="10">
        <f>(C2*5+D2*3+E2*2)/B2</f>
        <v>0.5714285714285714</v>
      </c>
    </row>
    <row r="3" spans="1:10" x14ac:dyDescent="0.55000000000000004">
      <c r="A3" s="12" t="s">
        <v>92</v>
      </c>
      <c r="B3" s="8">
        <f t="shared" ref="B3:B6" si="0">SUM(C3:F3)</f>
        <v>51</v>
      </c>
      <c r="C3" s="8">
        <v>3</v>
      </c>
      <c r="D3" s="8">
        <v>1</v>
      </c>
      <c r="E3" s="8">
        <v>5</v>
      </c>
      <c r="F3" s="8">
        <v>42</v>
      </c>
      <c r="G3" s="9">
        <f t="shared" ref="G3:G6" si="1">C3/B3</f>
        <v>5.8823529411764705E-2</v>
      </c>
      <c r="H3" s="9">
        <f t="shared" ref="H3:H6" si="2">(C3+D3)/B3</f>
        <v>7.8431372549019607E-2</v>
      </c>
      <c r="I3" s="9">
        <f t="shared" ref="I3:I6" si="3">(C3+D3+E3)/B3</f>
        <v>0.17647058823529413</v>
      </c>
      <c r="J3" s="10">
        <f t="shared" ref="J3:J5" si="4">(C3*5+D3*3+E3*2)/B3</f>
        <v>0.5490196078431373</v>
      </c>
    </row>
    <row r="4" spans="1:10" x14ac:dyDescent="0.55000000000000004">
      <c r="A4" s="12" t="s">
        <v>93</v>
      </c>
      <c r="B4" s="8">
        <f t="shared" si="0"/>
        <v>83</v>
      </c>
      <c r="C4" s="8">
        <v>5</v>
      </c>
      <c r="D4" s="8">
        <v>7</v>
      </c>
      <c r="E4" s="8">
        <v>3</v>
      </c>
      <c r="F4" s="8">
        <v>68</v>
      </c>
      <c r="G4" s="9">
        <f t="shared" si="1"/>
        <v>6.0240963855421686E-2</v>
      </c>
      <c r="H4" s="9">
        <f t="shared" si="2"/>
        <v>0.14457831325301204</v>
      </c>
      <c r="I4" s="9">
        <f t="shared" si="3"/>
        <v>0.18072289156626506</v>
      </c>
      <c r="J4" s="10">
        <f t="shared" si="4"/>
        <v>0.62650602409638556</v>
      </c>
    </row>
    <row r="5" spans="1:10" x14ac:dyDescent="0.55000000000000004">
      <c r="A5" s="12" t="s">
        <v>94</v>
      </c>
      <c r="B5" s="8">
        <f t="shared" si="0"/>
        <v>39</v>
      </c>
      <c r="C5" s="8">
        <v>1</v>
      </c>
      <c r="D5" s="8">
        <v>1</v>
      </c>
      <c r="E5" s="8">
        <v>2</v>
      </c>
      <c r="F5" s="8">
        <v>35</v>
      </c>
      <c r="G5" s="9">
        <f t="shared" si="1"/>
        <v>2.564102564102564E-2</v>
      </c>
      <c r="H5" s="9">
        <f t="shared" si="2"/>
        <v>5.128205128205128E-2</v>
      </c>
      <c r="I5" s="9">
        <f t="shared" si="3"/>
        <v>0.10256410256410256</v>
      </c>
      <c r="J5" s="10">
        <f t="shared" si="4"/>
        <v>0.30769230769230771</v>
      </c>
    </row>
    <row r="6" spans="1:10" x14ac:dyDescent="0.55000000000000004">
      <c r="A6" s="12" t="s">
        <v>95</v>
      </c>
      <c r="B6" s="8">
        <f t="shared" si="0"/>
        <v>8</v>
      </c>
      <c r="C6" s="8">
        <v>0</v>
      </c>
      <c r="D6" s="8">
        <v>0</v>
      </c>
      <c r="E6" s="8">
        <v>0</v>
      </c>
      <c r="F6" s="8">
        <v>8</v>
      </c>
      <c r="G6" s="9">
        <f t="shared" si="1"/>
        <v>0</v>
      </c>
      <c r="H6" s="9">
        <f t="shared" si="2"/>
        <v>0</v>
      </c>
      <c r="I6" s="9">
        <f t="shared" si="3"/>
        <v>0</v>
      </c>
      <c r="J6" s="10">
        <f>(C6*5+D6*3+E6*2)/B6/2</f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前提条件</vt:lpstr>
      <vt:lpstr>年齢</vt:lpstr>
      <vt:lpstr>枠順</vt:lpstr>
      <vt:lpstr>騎手</vt:lpstr>
      <vt:lpstr>血統</vt:lpstr>
      <vt:lpstr>前走クラス</vt:lpstr>
      <vt:lpstr>前走レース別</vt:lpstr>
      <vt:lpstr>馬体重増減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金山 樹 ＯＮＥ ＣＳＵ出</dc:creator>
  <cp:lastModifiedBy>金山 樹 ＯＮＥ ＣＳＵ出</cp:lastModifiedBy>
  <dcterms:created xsi:type="dcterms:W3CDTF">2025-12-14T11:45:51Z</dcterms:created>
  <dcterms:modified xsi:type="dcterms:W3CDTF">2025-12-16T13:20:55Z</dcterms:modified>
</cp:coreProperties>
</file>